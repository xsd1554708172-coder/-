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40" windowHeight="12040"/>
  </bookViews>
  <sheets>
    <sheet name="总览" sheetId="1" r:id="rId1"/>
    <sheet name="000063.SZ_元数据" sheetId="2" r:id="rId2"/>
    <sheet name="000063.SZ_行情" sheetId="3" r:id="rId3"/>
    <sheet name="000925.SZ_元数据" sheetId="4" r:id="rId4"/>
    <sheet name="000925.SZ_行情" sheetId="5" r:id="rId5"/>
    <sheet name="002685.SZ_元数据" sheetId="6" r:id="rId6"/>
    <sheet name="002685.SZ_行情" sheetId="7" r:id="rId7"/>
    <sheet name="300054.SZ_元数据" sheetId="8" r:id="rId8"/>
    <sheet name="300054.SZ_行情" sheetId="9" r:id="rId9"/>
    <sheet name="300474.SZ_元数据" sheetId="10" r:id="rId10"/>
    <sheet name="300474.SZ_行情" sheetId="11" r:id="rId11"/>
    <sheet name="300496.SZ_元数据" sheetId="12" r:id="rId12"/>
    <sheet name="300496.SZ_行情" sheetId="13" r:id="rId13"/>
    <sheet name="300571.SZ_元数据" sheetId="14" r:id="rId14"/>
    <sheet name="300571.SZ_行情" sheetId="15" r:id="rId15"/>
    <sheet name="300638.SZ_元数据" sheetId="16" r:id="rId16"/>
    <sheet name="300638.SZ_行情" sheetId="17" r:id="rId17"/>
    <sheet name="300738.SZ_元数据" sheetId="18" r:id="rId18"/>
    <sheet name="300738.SZ_行情" sheetId="19" r:id="rId19"/>
    <sheet name="600821.SH_元数据" sheetId="20" r:id="rId20"/>
    <sheet name="600821.SH_行情" sheetId="21" r:id="rId21"/>
    <sheet name="600941.SH_元数据" sheetId="22" r:id="rId22"/>
    <sheet name="600941.SH_行情" sheetId="23" r:id="rId23"/>
    <sheet name="603019.SH_元数据" sheetId="24" r:id="rId24"/>
    <sheet name="603019.SH_行情" sheetId="25" r:id="rId25"/>
    <sheet name="603220.SH_元数据" sheetId="26" r:id="rId26"/>
    <sheet name="603220.SH_行情" sheetId="27" r:id="rId27"/>
    <sheet name="000063.SZ_元数据 Copy" sheetId="28" r:id="rId28"/>
    <sheet name="603688.SH_元数据" sheetId="29" r:id="rId29"/>
    <sheet name="603688.SH_行情" sheetId="30" r:id="rId30"/>
    <sheet name="688008.SH_元数据" sheetId="31" r:id="rId31"/>
    <sheet name="688008.SH_行情" sheetId="32" r:id="rId32"/>
    <sheet name="688048.SH_元数据" sheetId="33" r:id="rId33"/>
    <sheet name="688048.SH_行情" sheetId="34" r:id="rId34"/>
    <sheet name="688256.SH_元数据" sheetId="35" r:id="rId35"/>
    <sheet name="688256.SH_行情" sheetId="36" r:id="rId36"/>
    <sheet name="688521.SH_元数据" sheetId="37" r:id="rId37"/>
    <sheet name="688521.SH_行情" sheetId="38" r:id="rId38"/>
    <sheet name="688627.SH_元数据" sheetId="39" r:id="rId39"/>
    <sheet name="688627.SH_行情" sheetId="40" r:id="rId40"/>
    <sheet name="300260.SZ_元数据" sheetId="41" r:id="rId41"/>
    <sheet name="300260.SZ_行情" sheetId="42" r:id="rId42"/>
    <sheet name="300789.SZ_元数据" sheetId="43" r:id="rId43"/>
    <sheet name="300789.SZ_行情" sheetId="44" r:id="rId44"/>
    <sheet name="688795.SH_元数据" sheetId="45" r:id="rId45"/>
    <sheet name="688795.SH_行情" sheetId="46" r:id="rId46"/>
    <sheet name="600186.SH_元数据" sheetId="47" r:id="rId47"/>
    <sheet name="600186.SH_行情" sheetId="48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3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4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5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6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7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8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9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10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11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12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comments13.xml><?xml version="1.0" encoding="utf-8"?>
<comments xmlns="http://schemas.openxmlformats.org/spreadsheetml/2006/main">
  <authors>
    <author>OpenAI</author>
  </authors>
  <commentList>
    <comment ref="N1" authorId="0">
      <text>
        <r>
          <rPr>
            <sz val="10"/>
            <rFont val="宋体"/>
            <charset val="134"/>
          </rPr>
          <t>事件日期来自“元数据”表 B4，请填写真实事件日期。</t>
        </r>
      </text>
    </comment>
    <comment ref="R1" authorId="0">
      <text>
        <r>
          <rPr>
            <sz val="10"/>
            <rFont val="宋体"/>
            <charset val="134"/>
          </rPr>
          <t>自动分类：事件前100个交易日 / 事件后5个交易日 / 事件当日 / 其他区间。</t>
        </r>
      </text>
    </comment>
    <comment ref="S1" authorId="0">
      <text>
        <r>
          <rPr>
            <sz val="10"/>
            <rFont val="宋体"/>
            <charset val="134"/>
          </rPr>
          <t>可手动写备注，如“年报公告前”“停牌后复牌”等。</t>
        </r>
      </text>
    </comment>
  </commentList>
</comments>
</file>

<file path=xl/sharedStrings.xml><?xml version="1.0" encoding="utf-8"?>
<sst xmlns="http://schemas.openxmlformats.org/spreadsheetml/2006/main" count="6460" uniqueCount="173">
  <si>
    <t>股票代码</t>
  </si>
  <si>
    <t>事件ID</t>
  </si>
  <si>
    <t>事件日期</t>
  </si>
  <si>
    <t>有效交易日(T0)</t>
  </si>
  <si>
    <t>标题</t>
  </si>
  <si>
    <t>事件来源</t>
  </si>
  <si>
    <t>事件类型</t>
  </si>
  <si>
    <t>行业</t>
  </si>
  <si>
    <t>行情起始</t>
  </si>
  <si>
    <t>行情结束</t>
  </si>
  <si>
    <t>样本天数</t>
  </si>
  <si>
    <t>前窗口覆盖</t>
  </si>
  <si>
    <t>后窗口覆盖</t>
  </si>
  <si>
    <t>状态说明</t>
  </si>
  <si>
    <t>000063.SZ</t>
  </si>
  <si>
    <t>2023年年度报告点评：“连接+算力”拓展深化，增长仍为第一要义</t>
  </si>
  <si>
    <t>东方财富</t>
  </si>
  <si>
    <t>技术</t>
  </si>
  <si>
    <t>算力</t>
  </si>
  <si>
    <t>前100日不完整；后5日不完整</t>
  </si>
  <si>
    <t>000925.SZ</t>
  </si>
  <si>
    <t>众合科技： 关于公司算力战略合作框架协议的实施进展公告（三）</t>
  </si>
  <si>
    <t>巨潮资讯</t>
  </si>
  <si>
    <t>公司行为</t>
  </si>
  <si>
    <t>002685.SZ</t>
  </si>
  <si>
    <t>港机订单稳定向好，布局GPU打造新成长极</t>
  </si>
  <si>
    <t>GPU</t>
  </si>
  <si>
    <t>事件日顺延到下一交易日；前100日不完整；后5日不完整</t>
  </si>
  <si>
    <t>300054.SZ</t>
  </si>
  <si>
    <t>鼎龙股份半导体材料营收同比增长，新品研发及导入进展顺利</t>
  </si>
  <si>
    <t>半导体</t>
  </si>
  <si>
    <t>300474.SZ</t>
  </si>
  <si>
    <t>显卡、通用GPU双线布局，管理变革推动创新</t>
  </si>
  <si>
    <t>300496.SZ</t>
  </si>
  <si>
    <t>智能汽车保持高增，大模型+边缘计算彰显长期价值</t>
  </si>
  <si>
    <t>边缘计算</t>
  </si>
  <si>
    <t>300571.SZ</t>
  </si>
  <si>
    <t>平治信息： 关于陕西电信GPU算力建设项目进展暨签订框架协议的公告</t>
  </si>
  <si>
    <t>300638.SZ</t>
  </si>
  <si>
    <t>深度报告：5G+AI时代下的连接与边缘计算旗手</t>
  </si>
  <si>
    <t>300738.SZ</t>
  </si>
  <si>
    <t xml:space="preserve">  关于数据中心获得2023年度碳中和认证的公告</t>
  </si>
  <si>
    <t>数据中心</t>
  </si>
  <si>
    <t>前100日不完整</t>
  </si>
  <si>
    <t>600821.SH</t>
  </si>
  <si>
    <t>金开新能： 关于全资子公司人工智能算力技术服务合同的进展公告</t>
  </si>
  <si>
    <t>600941.SH</t>
  </si>
  <si>
    <t>AI业务接力成长，加速智算建设</t>
  </si>
  <si>
    <t>603019.SH</t>
  </si>
  <si>
    <t>2024半年报点评：业绩稳健增长，算力建设稳步推进</t>
  </si>
  <si>
    <t>603220.SH</t>
  </si>
  <si>
    <t>中贝通信：关于签订算力综合服务框架协议的公告</t>
  </si>
  <si>
    <t>603688.SH</t>
  </si>
  <si>
    <t>光伏石英砂龙头，半导体国产替代加快</t>
  </si>
  <si>
    <t>688008.SH</t>
  </si>
  <si>
    <t>中国AI算力需求大爆发，利好内存接口龙头</t>
  </si>
  <si>
    <t>688048.SH</t>
  </si>
  <si>
    <t>IDM平台筑泛半导体生态，AI算力引领高端光芯片机遇</t>
  </si>
  <si>
    <t>688256.SH</t>
  </si>
  <si>
    <t>2025年半年报点评：国产AI算力龙头，2025Q2业绩延续高增态势</t>
  </si>
  <si>
    <t>688521.SH</t>
  </si>
  <si>
    <t>GPU IP持续高占比高增长，量产业务持续放量</t>
  </si>
  <si>
    <t>688627.SH</t>
  </si>
  <si>
    <t>精智达技术：半导体测试设备技术和订单双重落地，助力公司长期稳健发展</t>
  </si>
  <si>
    <t>300260.SZ</t>
  </si>
  <si>
    <t>国内半导体行业需求强劲，看好零部件业务增长带动业绩修复</t>
  </si>
  <si>
    <t>300789.SZ</t>
  </si>
  <si>
    <t>锦鸡股份：关于重大设备采购合同履行进展暨算力设备采购进展的公告</t>
  </si>
  <si>
    <t>688795.SH</t>
  </si>
  <si>
    <t>以全功能GPU为核心的国产加速计算平台领军者</t>
  </si>
  <si>
    <t>600186.SH</t>
  </si>
  <si>
    <t>莲花控股： 莲花控股股份有限公司关于转型算力业务相关进展情况的公告</t>
  </si>
  <si>
    <t>事件日顺延到下一交易日；前100日不完整</t>
  </si>
  <si>
    <t>字段</t>
  </si>
  <si>
    <t>内容</t>
  </si>
  <si>
    <t>事件名称</t>
  </si>
  <si>
    <t>数据来源</t>
  </si>
  <si>
    <t>用户提供行情CSV + 事件库1.csv</t>
  </si>
  <si>
    <t>分类规则</t>
  </si>
  <si>
    <t>前100个交易日 / 事件当日 / 后5个交易日</t>
  </si>
  <si>
    <t>内容链接</t>
  </si>
  <si>
    <t>https://data.eastmoney.com/report/zw_stock.jshtml?infocode=AP202403111626215378</t>
  </si>
  <si>
    <t>窗口覆盖说明</t>
  </si>
  <si>
    <t>前窗口覆盖 58/100 个交易日；后窗口覆盖 4/5 个交易日</t>
  </si>
  <si>
    <t>说明</t>
  </si>
  <si>
    <t>若事件日期不是交易日，则 T0 取事件日期之后的首个交易日。</t>
  </si>
  <si>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</si>
  <si>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</si>
  <si>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</si>
  <si>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</si>
  <si>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</si>
  <si>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</si>
  <si>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</si>
  <si>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</si>
  <si>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</si>
  <si>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</si>
  <si>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</si>
  <si>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数据分类</t>
  </si>
  <si>
    <t>交易日序号</t>
  </si>
  <si>
    <t>事件交易日序号</t>
  </si>
  <si>
    <t>相对交易日</t>
  </si>
  <si>
    <t>窗口标签</t>
  </si>
  <si>
    <t>备注</t>
  </si>
  <si>
    <t>用户提供行情CSV</t>
  </si>
  <si>
    <t>股票日行情</t>
  </si>
  <si>
    <t>事件前100个交易日</t>
  </si>
  <si>
    <t>事件当日</t>
  </si>
  <si>
    <t>事件后5个交易日</t>
  </si>
  <si>
    <t>https://www.cninfo.com.cn/new/disclosure/detail?orgId=gssz0000925&amp;announcementId=1218845958&amp;announcementTime=2024-01-11</t>
  </si>
  <si>
    <t>前窗口覆盖 81/100 个交易日；后窗口覆盖 3/5 个交易日</t>
  </si>
  <si>
    <t>http://data.eastmoney.com/report/zw_stock.jshtml?infocode=AP202509071739972457</t>
  </si>
  <si>
    <t>前窗口覆盖 65/100 个交易日；后窗口覆盖 4/5 个交易日</t>
  </si>
  <si>
    <t>事件日非交易日，T0顺延至下一交易日</t>
  </si>
  <si>
    <t>http://data.eastmoney.com/report/zw_stock.jshtml?infocode=AP202404221630960435</t>
  </si>
  <si>
    <t>前窗口覆盖 59/100 个交易日；后窗口覆盖 3/5 个交易日</t>
  </si>
  <si>
    <t>事件库1.csv + 股票日行情CSV</t>
  </si>
  <si>
    <t>前100个交易日 / 后5个交易日</t>
  </si>
  <si>
    <t>使用事件库匹配事件，并按事件日期定位 T0；若事件日非交易日，则顺延到下一交易日。</t>
  </si>
  <si>
    <t>原始事件日期</t>
  </si>
  <si>
    <t>http://data.eastmoney.com/report/zw_stock.jshtml?infocode=AP202508071723199368</t>
  </si>
  <si>
    <t>对齐说明</t>
  </si>
  <si>
    <t>已匹配</t>
  </si>
  <si>
    <t>代码</t>
  </si>
  <si>
    <t>日期</t>
  </si>
  <si>
    <t>开盘价</t>
  </si>
  <si>
    <t>最高价</t>
  </si>
  <si>
    <t>最低价</t>
  </si>
  <si>
    <t>收盘价</t>
  </si>
  <si>
    <t>昨日收盘价</t>
  </si>
  <si>
    <t>变化量</t>
  </si>
  <si>
    <t>涨跌幅</t>
  </si>
  <si>
    <t>成交量</t>
  </si>
  <si>
    <t>金额</t>
  </si>
  <si>
    <t>原始事件日期非交易日，T0顺延至2025-08-07；事件前仅有65个交易日；事件后仅有3个交易日</t>
  </si>
  <si>
    <t>http://data.eastmoney.com/report/zw_stock.jshtml?infocode=AP202308201595380625</t>
  </si>
  <si>
    <t>原始事件日期非交易日，T0顺延至2023-08-21；事件前仅有63个交易日；事件后仅有4个交易日</t>
  </si>
  <si>
    <t>https://www.cninfo.com.cn/new/disclosure/detail?orgId=9900029947&amp;announcementId=1223682100&amp;announcementTime=2025-05-26%2017:00</t>
  </si>
  <si>
    <t>原始事件日期非交易日，T0顺延至2025-05-26；事件前仅有59个交易日；事件后仅有4个交易日</t>
  </si>
  <si>
    <t>http://data.eastmoney.com/report/zw_stock.jshtml?infocode=AP202305171586714987</t>
  </si>
  <si>
    <t>原始事件日期非交易日，T0顺延至2023-05-17；事件前仅有59个交易日；事件后仅有3个交易日</t>
  </si>
  <si>
    <t>https://www.cninfo.com.cn/new/disclosure/detail?orgId=gfbj0832745&amp;announcementId=1221004685&amp;announcementTime=2024-08-28</t>
  </si>
  <si>
    <t>原始事件日期非交易日，T0顺延至2024-08-28；事件前仅有65个交易日</t>
  </si>
  <si>
    <t>使用事件库匹配事件，并按事件日期定位T0；若事件日非交易日，则顺延到下一交易日。</t>
  </si>
  <si>
    <t>https://www.cninfo.com.cn/new/disclosure/detail?orgId=gssh0600821&amp;announcementId=1224377816&amp;announcementTime=2025-08-04</t>
  </si>
  <si>
    <t>前100日不完整，仅63个交易日；后5日不完整，仅4个交易日</t>
  </si>
  <si>
    <t>http://data.eastmoney.com/report/zw_stock.jshtml?infocode=AP202504231660891262</t>
  </si>
  <si>
    <t>前100日不完整，仅57个交易日；后5日不完整，仅3个交易日</t>
  </si>
  <si>
    <t>http://data.eastmoney.com/report/zw_stock.jshtml?infocode=AP202408231639427902</t>
  </si>
  <si>
    <t>前100日不完整，仅65个交易日；后5日不完整，仅3个交易日</t>
  </si>
  <si>
    <t>https://www.cninfo.com.cn/new/disclosure/detail?orgId=9900035549&amp;announcementId=1224795084&amp;announcementTime=2025-11-11</t>
  </si>
  <si>
    <t>前100日不完整，仅60个交易日；后5日不完整，仅3个交易日</t>
  </si>
  <si>
    <t>http://data.eastmoney.com/report/zw_stock.jshtml?infocode=AP202510281770617245</t>
  </si>
  <si>
    <t>事件前仅有60个交易日；事件后仅有4个交易日</t>
  </si>
  <si>
    <t>http://data.eastmoney.com/report/zw_stock.jshtml?infocode=AP202502211643357942</t>
  </si>
  <si>
    <t>事件前仅有59个交易日；事件后仅有3个交易日</t>
  </si>
  <si>
    <t>http://data.eastmoney.com/report/zw_stock.jshtml?infocode=AP202512131799619298</t>
  </si>
  <si>
    <t>事件日顺延到下一交易日</t>
  </si>
  <si>
    <t>事件日顺延到下一交易日；事件前仅有59个交易日；事件后仅有3个交易日</t>
  </si>
  <si>
    <t>http://data.eastmoney.com/report/zw_stock.jshtml?infocode=AP202508281735945407</t>
  </si>
  <si>
    <t>事件前仅有65个交易日；事件后仅有4个交易日</t>
  </si>
  <si>
    <t>http://data.eastmoney.com/report/zw_stock.jshtml?infocode=AP202403011624845478</t>
  </si>
  <si>
    <t>事件前仅有58个交易日；事件后仅有3个交易日</t>
  </si>
  <si>
    <t>http://data.eastmoney.com/report/zw_stock.jshtml?infocode=AP202503131644330863</t>
  </si>
  <si>
    <t>事件前仅有57个交易日；事件后仅有3个交易日</t>
  </si>
  <si>
    <t>http://data.eastmoney.com/report/zw_stock.jshtml?infocode=AP202504301664846503</t>
  </si>
  <si>
    <t>事件前仅有71个交易日</t>
  </si>
  <si>
    <t>其他区间</t>
  </si>
  <si>
    <t>https://www.cninfo.com.cn/new/disclosure/detail?orgId=9900036548&amp;announcementId=1218799804&amp;announcementTime=2024-01-03%2016:34</t>
  </si>
  <si>
    <t>事件前仅有65个交易日；事件后仅有3个交易日</t>
  </si>
  <si>
    <t>http://data.eastmoney.com/report/zw_stock.jshtml?infocode=AP202511301791284379</t>
  </si>
  <si>
    <t>事件日顺延到下一交易日；事件前仅有0个交易日；事件后仅有0个交易日</t>
  </si>
  <si>
    <t>https://www.cninfo.com.cn/new/disclosure/detail?orgId=gssh0600186&amp;announcementId=1221314516&amp;announcementTime=2024-09-28</t>
  </si>
  <si>
    <t>事件日顺延到下一交易日；事件前仅有72个交易日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</si>
</sst>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6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4" borderId="0" xfId="0" applyFont="1" applyFill="1"/>
    <xf numFmtId="0" fontId="2" fillId="5" borderId="0" xfId="0" applyFont="1" applyFill="1" applyAlignment="1">
      <alignment vertical="center" wrapText="1"/>
    </xf>
    <xf numFmtId="176" fontId="2" fillId="5" borderId="0" xfId="0" applyNumberFormat="1" applyFont="1" applyFill="1"/>
    <xf numFmtId="0" fontId="2" fillId="5" borderId="0" xfId="0" applyFont="1" applyFill="1"/>
    <xf numFmtId="0" fontId="0" fillId="0" borderId="0" xfId="0" applyAlignment="1">
      <alignment vertical="center" wrapText="1"/>
    </xf>
    <xf numFmtId="176" fontId="0" fillId="0" borderId="0" xfId="0" applyNumberFormat="1"/>
    <xf numFmtId="2" fontId="2" fillId="0" borderId="0" xfId="0" applyNumberFormat="1" applyFont="1"/>
    <xf numFmtId="4" fontId="2" fillId="0" borderId="0" xfId="0" applyNumberFormat="1" applyFont="1"/>
    <xf numFmtId="177" fontId="2" fillId="0" borderId="0" xfId="0" applyNumberFormat="1" applyFont="1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1" Type="http://schemas.openxmlformats.org/officeDocument/2006/relationships/styles" Target="styles.xml"/><Relationship Id="rId5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9" Type="http://schemas.openxmlformats.org/officeDocument/2006/relationships/theme" Target="theme/theme1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A1" sqref="A1"/>
    </sheetView>
  </sheetViews>
  <sheetFormatPr defaultColWidth="9" defaultRowHeight="14"/>
  <cols>
    <col min="1" max="1" width="12" customWidth="1"/>
    <col min="2" max="2" width="10" customWidth="1"/>
    <col min="3" max="3" width="12" customWidth="1"/>
    <col min="4" max="4" width="14" customWidth="1"/>
    <col min="5" max="5" width="36" customWidth="1"/>
    <col min="6" max="6" width="12" customWidth="1"/>
    <col min="7" max="7" width="10" customWidth="1"/>
    <col min="9" max="9" width="12" customWidth="1"/>
    <col min="11" max="11" width="10" customWidth="1"/>
    <col min="12" max="12" width="12" customWidth="1"/>
    <col min="14" max="14" width="22" customWidth="1"/>
  </cols>
  <sheetData>
    <row r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ht="28" customHeight="1" spans="1:14">
      <c r="A2" s="9" t="s">
        <v>14</v>
      </c>
      <c r="B2" s="9">
        <v>11</v>
      </c>
      <c r="C2" s="16">
        <v>45362</v>
      </c>
      <c r="D2" s="16">
        <v>45362</v>
      </c>
      <c r="E2" s="9" t="s">
        <v>15</v>
      </c>
      <c r="F2" s="9" t="s">
        <v>16</v>
      </c>
      <c r="G2" s="9" t="s">
        <v>17</v>
      </c>
      <c r="H2" s="9" t="s">
        <v>18</v>
      </c>
      <c r="I2" s="16">
        <v>45271</v>
      </c>
      <c r="J2" s="16">
        <v>45366</v>
      </c>
      <c r="K2" s="9">
        <v>63</v>
      </c>
      <c r="L2" s="9">
        <v>58</v>
      </c>
      <c r="M2" s="9">
        <v>4</v>
      </c>
      <c r="N2" s="9" t="s">
        <v>19</v>
      </c>
    </row>
    <row r="3" ht="28" customHeight="1" spans="1:14">
      <c r="A3" s="9" t="s">
        <v>20</v>
      </c>
      <c r="B3" s="9">
        <v>2</v>
      </c>
      <c r="C3" s="16">
        <v>45302</v>
      </c>
      <c r="D3" s="16">
        <v>45302</v>
      </c>
      <c r="E3" s="9" t="s">
        <v>21</v>
      </c>
      <c r="F3" s="9" t="s">
        <v>22</v>
      </c>
      <c r="G3" s="9" t="s">
        <v>23</v>
      </c>
      <c r="H3" s="9" t="s">
        <v>18</v>
      </c>
      <c r="I3" s="16">
        <v>45180</v>
      </c>
      <c r="J3" s="16">
        <v>45307</v>
      </c>
      <c r="K3" s="9">
        <v>85</v>
      </c>
      <c r="L3" s="9">
        <v>81</v>
      </c>
      <c r="M3" s="9">
        <v>3</v>
      </c>
      <c r="N3" s="9" t="s">
        <v>19</v>
      </c>
    </row>
    <row r="4" ht="42" customHeight="1" spans="1:14">
      <c r="A4" s="9" t="s">
        <v>24</v>
      </c>
      <c r="B4" s="9">
        <v>21</v>
      </c>
      <c r="C4" s="16">
        <v>45907</v>
      </c>
      <c r="D4" s="16">
        <v>45908</v>
      </c>
      <c r="E4" s="9" t="s">
        <v>25</v>
      </c>
      <c r="F4" s="9" t="s">
        <v>16</v>
      </c>
      <c r="G4" s="9" t="s">
        <v>17</v>
      </c>
      <c r="H4" s="9" t="s">
        <v>26</v>
      </c>
      <c r="I4" s="16">
        <v>45817</v>
      </c>
      <c r="J4" s="16">
        <v>45912</v>
      </c>
      <c r="K4" s="9">
        <v>70</v>
      </c>
      <c r="L4" s="9">
        <v>65</v>
      </c>
      <c r="M4" s="9">
        <v>4</v>
      </c>
      <c r="N4" s="9" t="s">
        <v>27</v>
      </c>
    </row>
    <row r="5" ht="28" customHeight="1" spans="1:14">
      <c r="A5" s="9" t="s">
        <v>28</v>
      </c>
      <c r="B5" s="9">
        <v>42</v>
      </c>
      <c r="C5" s="16">
        <v>45344</v>
      </c>
      <c r="D5" s="16">
        <v>45344</v>
      </c>
      <c r="E5" s="9" t="s">
        <v>29</v>
      </c>
      <c r="F5" s="9" t="s">
        <v>16</v>
      </c>
      <c r="G5" s="9" t="s">
        <v>17</v>
      </c>
      <c r="H5" s="9" t="s">
        <v>30</v>
      </c>
      <c r="I5" s="16">
        <v>45252</v>
      </c>
      <c r="J5" s="16">
        <v>45349</v>
      </c>
      <c r="K5" s="9">
        <v>63</v>
      </c>
      <c r="L5" s="9">
        <v>59</v>
      </c>
      <c r="M5" s="9">
        <v>3</v>
      </c>
      <c r="N5" s="9" t="s">
        <v>19</v>
      </c>
    </row>
    <row r="6" ht="28" customHeight="1" spans="1:14">
      <c r="A6" s="9" t="s">
        <v>31</v>
      </c>
      <c r="B6" s="9">
        <v>22</v>
      </c>
      <c r="C6" s="16">
        <v>45876</v>
      </c>
      <c r="D6" s="16">
        <v>45876</v>
      </c>
      <c r="E6" s="9" t="s">
        <v>32</v>
      </c>
      <c r="F6" s="9" t="s">
        <v>16</v>
      </c>
      <c r="G6" s="9" t="s">
        <v>17</v>
      </c>
      <c r="H6" s="9" t="s">
        <v>26</v>
      </c>
      <c r="I6" s="16">
        <v>45784</v>
      </c>
      <c r="J6" s="16">
        <v>45881</v>
      </c>
      <c r="K6" s="9">
        <v>69</v>
      </c>
      <c r="L6" s="9">
        <v>65</v>
      </c>
      <c r="M6" s="9">
        <v>3</v>
      </c>
      <c r="N6" s="9" t="s">
        <v>19</v>
      </c>
    </row>
    <row r="7" ht="28" customHeight="1" spans="1:14">
      <c r="A7" s="9" t="s">
        <v>33</v>
      </c>
      <c r="B7" s="9">
        <v>35</v>
      </c>
      <c r="C7" s="16">
        <v>45159</v>
      </c>
      <c r="D7" s="16">
        <v>45159</v>
      </c>
      <c r="E7" s="9" t="s">
        <v>34</v>
      </c>
      <c r="F7" s="9" t="s">
        <v>16</v>
      </c>
      <c r="G7" s="9" t="s">
        <v>17</v>
      </c>
      <c r="H7" s="9" t="s">
        <v>35</v>
      </c>
      <c r="I7" s="16">
        <v>45068</v>
      </c>
      <c r="J7" s="16">
        <v>45163</v>
      </c>
      <c r="K7" s="9">
        <v>68</v>
      </c>
      <c r="L7" s="9">
        <v>63</v>
      </c>
      <c r="M7" s="9">
        <v>4</v>
      </c>
      <c r="N7" s="9" t="s">
        <v>19</v>
      </c>
    </row>
    <row r="8" ht="28" customHeight="1" spans="1:14">
      <c r="A8" s="9" t="s">
        <v>36</v>
      </c>
      <c r="B8" s="9">
        <v>29</v>
      </c>
      <c r="C8" s="16">
        <v>45803</v>
      </c>
      <c r="D8" s="16">
        <v>45803</v>
      </c>
      <c r="E8" s="9" t="s">
        <v>37</v>
      </c>
      <c r="F8" s="9" t="s">
        <v>22</v>
      </c>
      <c r="G8" s="9" t="s">
        <v>23</v>
      </c>
      <c r="H8" s="9" t="s">
        <v>26</v>
      </c>
      <c r="I8" s="16">
        <v>45714</v>
      </c>
      <c r="J8" s="16">
        <v>45807</v>
      </c>
      <c r="K8" s="9">
        <v>64</v>
      </c>
      <c r="L8" s="9">
        <v>59</v>
      </c>
      <c r="M8" s="9">
        <v>4</v>
      </c>
      <c r="N8" s="9" t="s">
        <v>19</v>
      </c>
    </row>
    <row r="9" ht="28" customHeight="1" spans="1:14">
      <c r="A9" s="9" t="s">
        <v>38</v>
      </c>
      <c r="B9" s="9">
        <v>36</v>
      </c>
      <c r="C9" s="16">
        <v>45063</v>
      </c>
      <c r="D9" s="16">
        <v>45063</v>
      </c>
      <c r="E9" s="9" t="s">
        <v>39</v>
      </c>
      <c r="F9" s="9" t="s">
        <v>16</v>
      </c>
      <c r="G9" s="9" t="s">
        <v>17</v>
      </c>
      <c r="H9" s="9" t="s">
        <v>35</v>
      </c>
      <c r="I9" s="16">
        <v>44974</v>
      </c>
      <c r="J9" s="16">
        <v>45068</v>
      </c>
      <c r="K9" s="9">
        <v>63</v>
      </c>
      <c r="L9" s="9">
        <v>59</v>
      </c>
      <c r="M9" s="9">
        <v>3</v>
      </c>
      <c r="N9" s="9" t="s">
        <v>19</v>
      </c>
    </row>
    <row r="10" ht="28" customHeight="1" spans="1:14">
      <c r="A10" s="9" t="s">
        <v>40</v>
      </c>
      <c r="B10" s="9">
        <v>40</v>
      </c>
      <c r="C10" s="16">
        <v>45532</v>
      </c>
      <c r="D10" s="16">
        <v>45532</v>
      </c>
      <c r="E10" s="9" t="s">
        <v>41</v>
      </c>
      <c r="F10" s="9" t="s">
        <v>22</v>
      </c>
      <c r="G10" s="9" t="s">
        <v>23</v>
      </c>
      <c r="H10" s="9" t="s">
        <v>42</v>
      </c>
      <c r="I10" s="16">
        <v>45440</v>
      </c>
      <c r="J10" s="16">
        <v>45539</v>
      </c>
      <c r="K10" s="9">
        <v>71</v>
      </c>
      <c r="L10" s="9">
        <v>65</v>
      </c>
      <c r="M10" s="9">
        <v>5</v>
      </c>
      <c r="N10" s="9" t="s">
        <v>43</v>
      </c>
    </row>
    <row r="11" ht="28" customHeight="1" spans="1:14">
      <c r="A11" s="9" t="s">
        <v>44</v>
      </c>
      <c r="B11" s="9">
        <v>4</v>
      </c>
      <c r="C11" s="16">
        <v>45873</v>
      </c>
      <c r="D11" s="16">
        <v>45873</v>
      </c>
      <c r="E11" s="9" t="s">
        <v>45</v>
      </c>
      <c r="F11" s="9" t="s">
        <v>22</v>
      </c>
      <c r="G11" s="9" t="s">
        <v>23</v>
      </c>
      <c r="H11" s="9" t="s">
        <v>18</v>
      </c>
      <c r="I11" s="16">
        <v>45783</v>
      </c>
      <c r="J11" s="16">
        <v>45877</v>
      </c>
      <c r="K11" s="9">
        <v>68</v>
      </c>
      <c r="L11" s="9">
        <v>63</v>
      </c>
      <c r="M11" s="9">
        <v>4</v>
      </c>
      <c r="N11" s="9" t="s">
        <v>19</v>
      </c>
    </row>
    <row r="12" ht="28" spans="1:14">
      <c r="A12" s="9" t="s">
        <v>46</v>
      </c>
      <c r="B12" s="9">
        <v>14</v>
      </c>
      <c r="C12" s="16">
        <v>45770</v>
      </c>
      <c r="D12" s="16">
        <v>45770</v>
      </c>
      <c r="E12" s="9" t="s">
        <v>47</v>
      </c>
      <c r="F12" s="9" t="s">
        <v>16</v>
      </c>
      <c r="G12" s="9" t="s">
        <v>17</v>
      </c>
      <c r="H12" s="9" t="s">
        <v>18</v>
      </c>
      <c r="I12" s="16">
        <v>45680</v>
      </c>
      <c r="J12" s="16">
        <v>45775</v>
      </c>
      <c r="K12" s="9">
        <v>61</v>
      </c>
      <c r="L12" s="9">
        <v>57</v>
      </c>
      <c r="M12" s="9">
        <v>3</v>
      </c>
      <c r="N12" s="9" t="s">
        <v>19</v>
      </c>
    </row>
    <row r="13" ht="28" spans="1:14">
      <c r="A13" s="9" t="s">
        <v>48</v>
      </c>
      <c r="B13" s="9">
        <v>12</v>
      </c>
      <c r="C13" s="16">
        <v>45527</v>
      </c>
      <c r="D13" s="16">
        <v>45527</v>
      </c>
      <c r="E13" s="9" t="s">
        <v>49</v>
      </c>
      <c r="F13" s="9" t="s">
        <v>16</v>
      </c>
      <c r="G13" s="9" t="s">
        <v>17</v>
      </c>
      <c r="H13" s="9" t="s">
        <v>18</v>
      </c>
      <c r="I13" s="16">
        <v>45435</v>
      </c>
      <c r="J13" s="16">
        <v>45532</v>
      </c>
      <c r="K13" s="9">
        <v>69</v>
      </c>
      <c r="L13" s="9">
        <v>65</v>
      </c>
      <c r="M13" s="9">
        <v>3</v>
      </c>
      <c r="N13" s="9" t="s">
        <v>19</v>
      </c>
    </row>
    <row r="14" ht="28" spans="1:14">
      <c r="A14" s="9" t="s">
        <v>50</v>
      </c>
      <c r="B14" s="9">
        <v>5</v>
      </c>
      <c r="C14" s="16">
        <v>45972</v>
      </c>
      <c r="D14" s="16">
        <v>45972</v>
      </c>
      <c r="E14" s="9" t="s">
        <v>51</v>
      </c>
      <c r="F14" s="9" t="s">
        <v>22</v>
      </c>
      <c r="G14" s="9" t="s">
        <v>23</v>
      </c>
      <c r="H14" s="9" t="s">
        <v>18</v>
      </c>
      <c r="I14" s="16">
        <v>45880</v>
      </c>
      <c r="J14" s="16">
        <v>45975</v>
      </c>
      <c r="K14" s="9">
        <v>64</v>
      </c>
      <c r="L14" s="9">
        <v>60</v>
      </c>
      <c r="M14" s="9">
        <v>3</v>
      </c>
      <c r="N14" s="9" t="s">
        <v>19</v>
      </c>
    </row>
    <row r="15" ht="28" spans="1:14">
      <c r="A15" s="9" t="s">
        <v>52</v>
      </c>
      <c r="B15" s="9">
        <v>45</v>
      </c>
      <c r="C15" s="16">
        <v>45958</v>
      </c>
      <c r="D15" s="16">
        <v>45958</v>
      </c>
      <c r="E15" s="9" t="s">
        <v>53</v>
      </c>
      <c r="F15" s="9" t="s">
        <v>16</v>
      </c>
      <c r="G15" s="9" t="s">
        <v>17</v>
      </c>
      <c r="H15" s="9" t="s">
        <v>30</v>
      </c>
      <c r="I15" s="16">
        <v>45866</v>
      </c>
      <c r="J15" s="16">
        <v>45964</v>
      </c>
      <c r="K15" s="9">
        <v>65</v>
      </c>
      <c r="L15" s="9">
        <v>60</v>
      </c>
      <c r="M15" s="9">
        <v>4</v>
      </c>
      <c r="N15" s="9" t="s">
        <v>19</v>
      </c>
    </row>
    <row r="16" ht="28" spans="1:14">
      <c r="A16" s="9" t="s">
        <v>54</v>
      </c>
      <c r="B16" s="9">
        <v>13</v>
      </c>
      <c r="C16" s="16">
        <v>45709</v>
      </c>
      <c r="D16" s="16">
        <v>45709</v>
      </c>
      <c r="E16" s="9" t="s">
        <v>55</v>
      </c>
      <c r="F16" s="9" t="s">
        <v>16</v>
      </c>
      <c r="G16" s="9" t="s">
        <v>17</v>
      </c>
      <c r="H16" s="9" t="s">
        <v>18</v>
      </c>
      <c r="I16" s="16">
        <v>45617</v>
      </c>
      <c r="J16" s="16">
        <v>45714</v>
      </c>
      <c r="K16" s="9">
        <v>63</v>
      </c>
      <c r="L16" s="9">
        <v>59</v>
      </c>
      <c r="M16" s="9">
        <v>3</v>
      </c>
      <c r="N16" s="9" t="s">
        <v>19</v>
      </c>
    </row>
    <row r="17" ht="42" spans="1:14">
      <c r="A17" s="9" t="s">
        <v>56</v>
      </c>
      <c r="B17" s="9">
        <v>46</v>
      </c>
      <c r="C17" s="16">
        <v>46004</v>
      </c>
      <c r="D17" s="16">
        <v>46006</v>
      </c>
      <c r="E17" s="9" t="s">
        <v>57</v>
      </c>
      <c r="F17" s="9" t="s">
        <v>16</v>
      </c>
      <c r="G17" s="9" t="s">
        <v>17</v>
      </c>
      <c r="H17" s="9" t="s">
        <v>30</v>
      </c>
      <c r="I17" s="16">
        <v>45915</v>
      </c>
      <c r="J17" s="16">
        <v>46009</v>
      </c>
      <c r="K17" s="9">
        <v>63</v>
      </c>
      <c r="L17" s="9">
        <v>59</v>
      </c>
      <c r="M17" s="9">
        <v>3</v>
      </c>
      <c r="N17" s="9" t="s">
        <v>27</v>
      </c>
    </row>
    <row r="18" ht="28" spans="1:14">
      <c r="A18" s="9" t="s">
        <v>58</v>
      </c>
      <c r="B18" s="9">
        <v>15</v>
      </c>
      <c r="C18" s="16">
        <v>45897</v>
      </c>
      <c r="D18" s="16">
        <v>45897</v>
      </c>
      <c r="E18" s="9" t="s">
        <v>59</v>
      </c>
      <c r="F18" s="9" t="s">
        <v>16</v>
      </c>
      <c r="G18" s="9" t="s">
        <v>17</v>
      </c>
      <c r="H18" s="9" t="s">
        <v>18</v>
      </c>
      <c r="I18" s="16">
        <v>45805</v>
      </c>
      <c r="J18" s="16">
        <v>45903</v>
      </c>
      <c r="K18" s="9">
        <v>70</v>
      </c>
      <c r="L18" s="9">
        <v>65</v>
      </c>
      <c r="M18" s="9">
        <v>4</v>
      </c>
      <c r="N18" s="9" t="s">
        <v>19</v>
      </c>
    </row>
    <row r="19" ht="28" spans="1:14">
      <c r="A19" s="9" t="s">
        <v>60</v>
      </c>
      <c r="B19" s="9">
        <v>24</v>
      </c>
      <c r="C19" s="16">
        <v>45352</v>
      </c>
      <c r="D19" s="16">
        <v>45352</v>
      </c>
      <c r="E19" s="9" t="s">
        <v>61</v>
      </c>
      <c r="F19" s="9" t="s">
        <v>16</v>
      </c>
      <c r="G19" s="9" t="s">
        <v>17</v>
      </c>
      <c r="H19" s="9" t="s">
        <v>26</v>
      </c>
      <c r="I19" s="16">
        <v>45261</v>
      </c>
      <c r="J19" s="16">
        <v>45357</v>
      </c>
      <c r="K19" s="9">
        <v>62</v>
      </c>
      <c r="L19" s="9">
        <v>58</v>
      </c>
      <c r="M19" s="9">
        <v>3</v>
      </c>
      <c r="N19" s="9" t="s">
        <v>19</v>
      </c>
    </row>
    <row r="20" ht="28" spans="1:14">
      <c r="A20" s="9" t="s">
        <v>62</v>
      </c>
      <c r="B20" s="9">
        <v>43</v>
      </c>
      <c r="C20" s="16">
        <v>45729</v>
      </c>
      <c r="D20" s="16">
        <v>45729</v>
      </c>
      <c r="E20" s="9" t="s">
        <v>63</v>
      </c>
      <c r="F20" s="9" t="s">
        <v>16</v>
      </c>
      <c r="G20" s="9" t="s">
        <v>17</v>
      </c>
      <c r="H20" s="9" t="s">
        <v>30</v>
      </c>
      <c r="I20" s="16">
        <v>45639</v>
      </c>
      <c r="J20" s="16">
        <v>45734</v>
      </c>
      <c r="K20" s="9">
        <v>61</v>
      </c>
      <c r="L20" s="9">
        <v>57</v>
      </c>
      <c r="M20" s="9">
        <v>3</v>
      </c>
      <c r="N20" s="9" t="s">
        <v>19</v>
      </c>
    </row>
    <row r="21" ht="28" spans="1:14">
      <c r="A21" s="9" t="s">
        <v>64</v>
      </c>
      <c r="B21" s="9">
        <v>44</v>
      </c>
      <c r="C21" s="16">
        <v>45777</v>
      </c>
      <c r="D21" s="16">
        <v>45777</v>
      </c>
      <c r="E21" s="9" t="s">
        <v>65</v>
      </c>
      <c r="F21" s="9" t="s">
        <v>16</v>
      </c>
      <c r="G21" s="9" t="s">
        <v>17</v>
      </c>
      <c r="H21" s="9" t="s">
        <v>30</v>
      </c>
      <c r="I21" s="16">
        <v>45667</v>
      </c>
      <c r="J21" s="16">
        <v>45790</v>
      </c>
      <c r="K21" s="9">
        <v>78</v>
      </c>
      <c r="L21" s="9">
        <v>71</v>
      </c>
      <c r="M21" s="9">
        <v>6</v>
      </c>
      <c r="N21" s="9" t="s">
        <v>43</v>
      </c>
    </row>
    <row r="22" ht="28" spans="1:14">
      <c r="A22" s="9" t="s">
        <v>66</v>
      </c>
      <c r="B22" s="9">
        <v>1</v>
      </c>
      <c r="C22" s="16">
        <v>45294</v>
      </c>
      <c r="D22" s="16">
        <v>45294</v>
      </c>
      <c r="E22" s="9" t="s">
        <v>67</v>
      </c>
      <c r="F22" s="9" t="s">
        <v>22</v>
      </c>
      <c r="G22" s="9" t="s">
        <v>23</v>
      </c>
      <c r="H22" s="9" t="s">
        <v>18</v>
      </c>
      <c r="I22" s="16">
        <v>45194</v>
      </c>
      <c r="J22" s="16">
        <v>45299</v>
      </c>
      <c r="K22" s="9">
        <v>69</v>
      </c>
      <c r="L22" s="9">
        <v>65</v>
      </c>
      <c r="M22" s="9">
        <v>3</v>
      </c>
      <c r="N22" s="9" t="s">
        <v>19</v>
      </c>
    </row>
    <row r="23" ht="42" spans="1:14">
      <c r="A23" s="9" t="s">
        <v>68</v>
      </c>
      <c r="B23" s="9">
        <v>23</v>
      </c>
      <c r="C23" s="16">
        <v>45991</v>
      </c>
      <c r="D23" s="16">
        <v>45996</v>
      </c>
      <c r="E23" s="9" t="s">
        <v>69</v>
      </c>
      <c r="F23" s="9" t="s">
        <v>16</v>
      </c>
      <c r="G23" s="9" t="s">
        <v>17</v>
      </c>
      <c r="H23" s="9" t="s">
        <v>26</v>
      </c>
      <c r="I23" s="16">
        <v>45996</v>
      </c>
      <c r="J23" s="16">
        <v>45996</v>
      </c>
      <c r="K23" s="9">
        <v>1</v>
      </c>
      <c r="L23" s="9">
        <v>0</v>
      </c>
      <c r="M23" s="9">
        <v>0</v>
      </c>
      <c r="N23" s="9" t="s">
        <v>27</v>
      </c>
    </row>
    <row r="24" ht="28" spans="1:14">
      <c r="A24" s="9" t="s">
        <v>70</v>
      </c>
      <c r="B24" s="9">
        <v>3</v>
      </c>
      <c r="C24" s="16">
        <v>45563</v>
      </c>
      <c r="D24" s="16">
        <v>45565</v>
      </c>
      <c r="E24" s="9" t="s">
        <v>71</v>
      </c>
      <c r="F24" s="9" t="s">
        <v>22</v>
      </c>
      <c r="G24" s="9" t="s">
        <v>23</v>
      </c>
      <c r="H24" s="9" t="s">
        <v>18</v>
      </c>
      <c r="I24" s="16">
        <v>45461</v>
      </c>
      <c r="J24" s="16">
        <v>45580</v>
      </c>
      <c r="K24" s="9">
        <v>79</v>
      </c>
      <c r="L24" s="9">
        <v>72</v>
      </c>
      <c r="M24" s="9">
        <v>6</v>
      </c>
      <c r="N24" s="9" t="s">
        <v>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14</v>
      </c>
    </row>
    <row r="3" spans="1:2">
      <c r="A3" s="5" t="s">
        <v>75</v>
      </c>
      <c r="B3" s="8" t="s">
        <v>15</v>
      </c>
    </row>
    <row r="4" spans="1:2">
      <c r="A4" s="5" t="s">
        <v>2</v>
      </c>
      <c r="B4" s="7">
        <v>45362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spans="1:2">
      <c r="A7" s="5" t="s">
        <v>1</v>
      </c>
      <c r="B7">
        <v>11</v>
      </c>
    </row>
    <row r="8" spans="1:2">
      <c r="A8" s="5" t="s">
        <v>80</v>
      </c>
      <c r="B8" t="s">
        <v>81</v>
      </c>
    </row>
    <row r="9" spans="1:2">
      <c r="A9" s="5" t="s">
        <v>5</v>
      </c>
      <c r="B9" t="s">
        <v>16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18</v>
      </c>
    </row>
    <row r="12" spans="1:2">
      <c r="A12" s="5" t="s">
        <v>3</v>
      </c>
      <c r="B12" s="3">
        <v>45362</v>
      </c>
    </row>
    <row r="13" spans="1:2">
      <c r="A13" s="5" t="s">
        <v>82</v>
      </c>
      <c r="B13" t="s">
        <v>83</v>
      </c>
    </row>
    <row r="14" spans="1:2">
      <c r="A14" s="5" t="s">
        <v>84</v>
      </c>
      <c r="B14" t="s">
        <v>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14</v>
      </c>
      <c r="B2" s="3">
        <v>45271</v>
      </c>
      <c r="C2">
        <v>25.9</v>
      </c>
      <c r="D2">
        <v>26.62</v>
      </c>
      <c r="E2">
        <v>25.51</v>
      </c>
      <c r="F2">
        <v>26.57</v>
      </c>
      <c r="G2">
        <v>26.1</v>
      </c>
      <c r="H2">
        <v>0.47</v>
      </c>
      <c r="I2">
        <v>1.8008</v>
      </c>
      <c r="J2">
        <v>960616.03</v>
      </c>
      <c r="K2">
        <v>2507913.556</v>
      </c>
      <c r="L2" t="s">
        <v>103</v>
      </c>
      <c r="M2" t="s">
        <v>104</v>
      </c>
      <c r="N2" s="3">
        <v>45362</v>
      </c>
      <c r="O2">
        <v>1</v>
      </c>
      <c r="P2">
        <v>59</v>
      </c>
      <c r="Q2">
        <v>-58</v>
      </c>
      <c r="R2" t="s">
        <v>105</v>
      </c>
    </row>
    <row r="3" spans="1:19">
      <c r="A3" t="s">
        <v>14</v>
      </c>
      <c r="B3" s="3">
        <v>45272</v>
      </c>
      <c r="C3">
        <v>26.45</v>
      </c>
      <c r="D3">
        <v>26.78</v>
      </c>
      <c r="E3">
        <v>26.2</v>
      </c>
      <c r="F3">
        <v>26.45</v>
      </c>
      <c r="G3">
        <v>26.57</v>
      </c>
      <c r="H3">
        <v>-0.12</v>
      </c>
      <c r="I3">
        <v>-0.4516</v>
      </c>
      <c r="J3">
        <v>656302.55</v>
      </c>
      <c r="K3">
        <v>1737617.777</v>
      </c>
      <c r="L3" t="s">
        <v>103</v>
      </c>
      <c r="M3" t="s">
        <v>104</v>
      </c>
      <c r="N3" s="3">
        <v>45362</v>
      </c>
      <c r="O3">
        <v>2</v>
      </c>
      <c r="P3">
        <v>59</v>
      </c>
      <c r="Q3">
        <v>-57</v>
      </c>
      <c r="R3" t="s">
        <v>105</v>
      </c>
    </row>
    <row r="4" spans="1:19">
      <c r="A4" t="s">
        <v>14</v>
      </c>
      <c r="B4" s="3">
        <v>45273</v>
      </c>
      <c r="C4">
        <v>26.45</v>
      </c>
      <c r="D4">
        <v>26.52</v>
      </c>
      <c r="E4">
        <v>25.88</v>
      </c>
      <c r="F4">
        <v>25.88</v>
      </c>
      <c r="G4">
        <v>26.45</v>
      </c>
      <c r="H4">
        <v>-0.57</v>
      </c>
      <c r="I4">
        <v>-2.155</v>
      </c>
      <c r="J4">
        <v>563549.26</v>
      </c>
      <c r="K4">
        <v>1475553.061</v>
      </c>
      <c r="L4" t="s">
        <v>103</v>
      </c>
      <c r="M4" t="s">
        <v>104</v>
      </c>
      <c r="N4" s="3">
        <v>45362</v>
      </c>
      <c r="O4">
        <v>3</v>
      </c>
      <c r="P4">
        <v>59</v>
      </c>
      <c r="Q4">
        <v>-56</v>
      </c>
      <c r="R4" t="s">
        <v>105</v>
      </c>
    </row>
    <row r="5" spans="1:19">
      <c r="A5" t="s">
        <v>14</v>
      </c>
      <c r="B5" s="3">
        <v>45274</v>
      </c>
      <c r="C5">
        <v>26.04</v>
      </c>
      <c r="D5">
        <v>27.27</v>
      </c>
      <c r="E5">
        <v>26.04</v>
      </c>
      <c r="F5">
        <v>26.35</v>
      </c>
      <c r="G5">
        <v>25.88</v>
      </c>
      <c r="H5">
        <v>0.47</v>
      </c>
      <c r="I5">
        <v>1.8161</v>
      </c>
      <c r="J5">
        <v>1281248.1</v>
      </c>
      <c r="K5">
        <v>3427085.971</v>
      </c>
      <c r="L5" t="s">
        <v>103</v>
      </c>
      <c r="M5" t="s">
        <v>104</v>
      </c>
      <c r="N5" s="3">
        <v>45362</v>
      </c>
      <c r="O5">
        <v>4</v>
      </c>
      <c r="P5">
        <v>59</v>
      </c>
      <c r="Q5">
        <v>-55</v>
      </c>
      <c r="R5" t="s">
        <v>105</v>
      </c>
    </row>
    <row r="6" spans="1:19">
      <c r="A6" t="s">
        <v>14</v>
      </c>
      <c r="B6" s="3">
        <v>45275</v>
      </c>
      <c r="C6">
        <v>26.46</v>
      </c>
      <c r="D6">
        <v>27.24</v>
      </c>
      <c r="E6">
        <v>26.12</v>
      </c>
      <c r="F6">
        <v>26.68</v>
      </c>
      <c r="G6">
        <v>26.35</v>
      </c>
      <c r="H6">
        <v>0.33</v>
      </c>
      <c r="I6">
        <v>1.2524</v>
      </c>
      <c r="J6">
        <v>1428091.45</v>
      </c>
      <c r="K6">
        <v>3825279.752</v>
      </c>
      <c r="L6" t="s">
        <v>103</v>
      </c>
      <c r="M6" t="s">
        <v>104</v>
      </c>
      <c r="N6" s="3">
        <v>45362</v>
      </c>
      <c r="O6">
        <v>5</v>
      </c>
      <c r="P6">
        <v>59</v>
      </c>
      <c r="Q6">
        <v>-54</v>
      </c>
      <c r="R6" t="s">
        <v>105</v>
      </c>
    </row>
    <row r="7" spans="1:19">
      <c r="A7" t="s">
        <v>14</v>
      </c>
      <c r="B7" s="3">
        <v>45278</v>
      </c>
      <c r="C7">
        <v>26.45</v>
      </c>
      <c r="D7">
        <v>26.54</v>
      </c>
      <c r="E7">
        <v>25.75</v>
      </c>
      <c r="F7">
        <v>25.97</v>
      </c>
      <c r="G7">
        <v>26.68</v>
      </c>
      <c r="H7">
        <v>-0.71</v>
      </c>
      <c r="I7">
        <v>-2.6612</v>
      </c>
      <c r="J7">
        <v>784957.34</v>
      </c>
      <c r="K7">
        <v>2052296.361</v>
      </c>
      <c r="L7" t="s">
        <v>103</v>
      </c>
      <c r="M7" t="s">
        <v>104</v>
      </c>
      <c r="N7" s="3">
        <v>45362</v>
      </c>
      <c r="O7">
        <v>6</v>
      </c>
      <c r="P7">
        <v>59</v>
      </c>
      <c r="Q7">
        <v>-53</v>
      </c>
      <c r="R7" t="s">
        <v>105</v>
      </c>
    </row>
    <row r="8" spans="1:19">
      <c r="A8" t="s">
        <v>14</v>
      </c>
      <c r="B8" s="3">
        <v>45279</v>
      </c>
      <c r="C8">
        <v>25.83</v>
      </c>
      <c r="D8">
        <v>26.24</v>
      </c>
      <c r="E8">
        <v>25.66</v>
      </c>
      <c r="F8">
        <v>25.94</v>
      </c>
      <c r="G8">
        <v>25.97</v>
      </c>
      <c r="H8">
        <v>-0.03</v>
      </c>
      <c r="I8">
        <v>-0.1155</v>
      </c>
      <c r="J8">
        <v>597918.92</v>
      </c>
      <c r="K8">
        <v>1549182.511</v>
      </c>
      <c r="L8" t="s">
        <v>103</v>
      </c>
      <c r="M8" t="s">
        <v>104</v>
      </c>
      <c r="N8" s="3">
        <v>45362</v>
      </c>
      <c r="O8">
        <v>7</v>
      </c>
      <c r="P8">
        <v>59</v>
      </c>
      <c r="Q8">
        <v>-52</v>
      </c>
      <c r="R8" t="s">
        <v>105</v>
      </c>
    </row>
    <row r="9" spans="1:19">
      <c r="A9" t="s">
        <v>14</v>
      </c>
      <c r="B9" s="3">
        <v>45280</v>
      </c>
      <c r="C9">
        <v>25.94</v>
      </c>
      <c r="D9">
        <v>26.01</v>
      </c>
      <c r="E9">
        <v>25.15</v>
      </c>
      <c r="F9">
        <v>25.16</v>
      </c>
      <c r="G9">
        <v>25.94</v>
      </c>
      <c r="H9">
        <v>-0.78</v>
      </c>
      <c r="I9">
        <v>-3.0069</v>
      </c>
      <c r="J9">
        <v>721276.72</v>
      </c>
      <c r="K9">
        <v>1832348.787</v>
      </c>
      <c r="L9" t="s">
        <v>103</v>
      </c>
      <c r="M9" t="s">
        <v>104</v>
      </c>
      <c r="N9" s="3">
        <v>45362</v>
      </c>
      <c r="O9">
        <v>8</v>
      </c>
      <c r="P9">
        <v>59</v>
      </c>
      <c r="Q9">
        <v>-51</v>
      </c>
      <c r="R9" t="s">
        <v>105</v>
      </c>
    </row>
    <row r="10" spans="1:19">
      <c r="A10" t="s">
        <v>14</v>
      </c>
      <c r="B10" s="3">
        <v>45281</v>
      </c>
      <c r="C10">
        <v>24.93</v>
      </c>
      <c r="D10">
        <v>25.74</v>
      </c>
      <c r="E10">
        <v>24.7</v>
      </c>
      <c r="F10">
        <v>25.57</v>
      </c>
      <c r="G10">
        <v>25.16</v>
      </c>
      <c r="H10">
        <v>0.41</v>
      </c>
      <c r="I10">
        <v>1.6296</v>
      </c>
      <c r="J10">
        <v>738459.37</v>
      </c>
      <c r="K10">
        <v>1861487.716</v>
      </c>
      <c r="L10" t="s">
        <v>103</v>
      </c>
      <c r="M10" t="s">
        <v>104</v>
      </c>
      <c r="N10" s="3">
        <v>45362</v>
      </c>
      <c r="O10">
        <v>9</v>
      </c>
      <c r="P10">
        <v>59</v>
      </c>
      <c r="Q10">
        <v>-50</v>
      </c>
      <c r="R10" t="s">
        <v>105</v>
      </c>
    </row>
    <row r="11" spans="1:19">
      <c r="A11" t="s">
        <v>14</v>
      </c>
      <c r="B11" s="3">
        <v>45282</v>
      </c>
      <c r="C11">
        <v>25.57</v>
      </c>
      <c r="D11">
        <v>25.95</v>
      </c>
      <c r="E11">
        <v>25.01</v>
      </c>
      <c r="F11">
        <v>25.17</v>
      </c>
      <c r="G11">
        <v>25.57</v>
      </c>
      <c r="H11">
        <v>-0.4</v>
      </c>
      <c r="I11">
        <v>-1.5643</v>
      </c>
      <c r="J11">
        <v>690324.53</v>
      </c>
      <c r="K11">
        <v>1758704.958</v>
      </c>
      <c r="L11" t="s">
        <v>103</v>
      </c>
      <c r="M11" t="s">
        <v>104</v>
      </c>
      <c r="N11" s="3">
        <v>45362</v>
      </c>
      <c r="O11">
        <v>10</v>
      </c>
      <c r="P11">
        <v>59</v>
      </c>
      <c r="Q11">
        <v>-49</v>
      </c>
      <c r="R11" t="s">
        <v>105</v>
      </c>
    </row>
    <row r="12" spans="1:19">
      <c r="A12" t="s">
        <v>14</v>
      </c>
      <c r="B12" s="3">
        <v>45285</v>
      </c>
      <c r="C12">
        <v>25.1</v>
      </c>
      <c r="D12">
        <v>25.66</v>
      </c>
      <c r="E12">
        <v>25.1</v>
      </c>
      <c r="F12">
        <v>25.32</v>
      </c>
      <c r="G12">
        <v>25.17</v>
      </c>
      <c r="H12">
        <v>0.15</v>
      </c>
      <c r="I12">
        <v>0.5959</v>
      </c>
      <c r="J12">
        <v>446303.98</v>
      </c>
      <c r="K12">
        <v>1133568.371</v>
      </c>
      <c r="L12" t="s">
        <v>103</v>
      </c>
      <c r="M12" t="s">
        <v>104</v>
      </c>
      <c r="N12" s="3">
        <v>45362</v>
      </c>
      <c r="O12">
        <v>11</v>
      </c>
      <c r="P12">
        <v>59</v>
      </c>
      <c r="Q12">
        <v>-48</v>
      </c>
      <c r="R12" t="s">
        <v>105</v>
      </c>
    </row>
    <row r="13" spans="1:19">
      <c r="A13" t="s">
        <v>14</v>
      </c>
      <c r="B13" s="3">
        <v>45286</v>
      </c>
      <c r="C13">
        <v>25.27</v>
      </c>
      <c r="D13">
        <v>25.32</v>
      </c>
      <c r="E13">
        <v>24.38</v>
      </c>
      <c r="F13">
        <v>24.64</v>
      </c>
      <c r="G13">
        <v>25.32</v>
      </c>
      <c r="H13">
        <v>-0.68</v>
      </c>
      <c r="I13">
        <v>-2.6856</v>
      </c>
      <c r="J13">
        <v>709431.56</v>
      </c>
      <c r="K13">
        <v>1753394.263</v>
      </c>
      <c r="L13" t="s">
        <v>103</v>
      </c>
      <c r="M13" t="s">
        <v>104</v>
      </c>
      <c r="N13" s="3">
        <v>45362</v>
      </c>
      <c r="O13">
        <v>12</v>
      </c>
      <c r="P13">
        <v>59</v>
      </c>
      <c r="Q13">
        <v>-47</v>
      </c>
      <c r="R13" t="s">
        <v>105</v>
      </c>
    </row>
    <row r="14" spans="1:19">
      <c r="A14" t="s">
        <v>14</v>
      </c>
      <c r="B14" s="3">
        <v>45287</v>
      </c>
      <c r="C14">
        <v>24.63</v>
      </c>
      <c r="D14">
        <v>24.85</v>
      </c>
      <c r="E14">
        <v>24.48</v>
      </c>
      <c r="F14">
        <v>24.64</v>
      </c>
      <c r="G14">
        <v>24.64</v>
      </c>
      <c r="H14">
        <v>0</v>
      </c>
      <c r="I14">
        <v>0</v>
      </c>
      <c r="J14">
        <v>523596.13</v>
      </c>
      <c r="K14">
        <v>1290309.104</v>
      </c>
      <c r="L14" t="s">
        <v>103</v>
      </c>
      <c r="M14" t="s">
        <v>104</v>
      </c>
      <c r="N14" s="3">
        <v>45362</v>
      </c>
      <c r="O14">
        <v>13</v>
      </c>
      <c r="P14">
        <v>59</v>
      </c>
      <c r="Q14">
        <v>-46</v>
      </c>
      <c r="R14" t="s">
        <v>105</v>
      </c>
    </row>
    <row r="15" spans="1:19">
      <c r="A15" t="s">
        <v>14</v>
      </c>
      <c r="B15" s="3">
        <v>45288</v>
      </c>
      <c r="C15">
        <v>24.54</v>
      </c>
      <c r="D15">
        <v>26.41</v>
      </c>
      <c r="E15">
        <v>24.46</v>
      </c>
      <c r="F15">
        <v>26.3</v>
      </c>
      <c r="G15">
        <v>24.64</v>
      </c>
      <c r="H15">
        <v>1.66</v>
      </c>
      <c r="I15">
        <v>6.737</v>
      </c>
      <c r="J15">
        <v>1679722.68</v>
      </c>
      <c r="K15">
        <v>4333261.289</v>
      </c>
      <c r="L15" t="s">
        <v>103</v>
      </c>
      <c r="M15" t="s">
        <v>104</v>
      </c>
      <c r="N15" s="3">
        <v>45362</v>
      </c>
      <c r="O15">
        <v>14</v>
      </c>
      <c r="P15">
        <v>59</v>
      </c>
      <c r="Q15">
        <v>-45</v>
      </c>
      <c r="R15" t="s">
        <v>105</v>
      </c>
    </row>
    <row r="16" spans="1:19">
      <c r="A16" t="s">
        <v>14</v>
      </c>
      <c r="B16" s="3">
        <v>45289</v>
      </c>
      <c r="C16">
        <v>26.25</v>
      </c>
      <c r="D16">
        <v>26.53</v>
      </c>
      <c r="E16">
        <v>26.1</v>
      </c>
      <c r="F16">
        <v>26.48</v>
      </c>
      <c r="G16">
        <v>26.3</v>
      </c>
      <c r="H16">
        <v>0.18</v>
      </c>
      <c r="I16">
        <v>0.6844</v>
      </c>
      <c r="J16">
        <v>802469.66</v>
      </c>
      <c r="K16">
        <v>2116275.731</v>
      </c>
      <c r="L16" t="s">
        <v>103</v>
      </c>
      <c r="M16" t="s">
        <v>104</v>
      </c>
      <c r="N16" s="3">
        <v>45362</v>
      </c>
      <c r="O16">
        <v>15</v>
      </c>
      <c r="P16">
        <v>59</v>
      </c>
      <c r="Q16">
        <v>-44</v>
      </c>
      <c r="R16" t="s">
        <v>105</v>
      </c>
    </row>
    <row r="17" spans="1:18">
      <c r="A17" t="s">
        <v>14</v>
      </c>
      <c r="B17" s="3">
        <v>45293</v>
      </c>
      <c r="C17">
        <v>26.5</v>
      </c>
      <c r="D17">
        <v>26.51</v>
      </c>
      <c r="E17">
        <v>25.58</v>
      </c>
      <c r="F17">
        <v>25.6</v>
      </c>
      <c r="G17">
        <v>26.48</v>
      </c>
      <c r="H17">
        <v>-0.88</v>
      </c>
      <c r="I17">
        <v>-3.3233</v>
      </c>
      <c r="J17">
        <v>1124613.18</v>
      </c>
      <c r="K17">
        <v>2905735.778</v>
      </c>
      <c r="L17" t="s">
        <v>103</v>
      </c>
      <c r="M17" t="s">
        <v>104</v>
      </c>
      <c r="N17" s="3">
        <v>45362</v>
      </c>
      <c r="O17">
        <v>16</v>
      </c>
      <c r="P17">
        <v>59</v>
      </c>
      <c r="Q17">
        <v>-43</v>
      </c>
      <c r="R17" t="s">
        <v>105</v>
      </c>
    </row>
    <row r="18" spans="1:18">
      <c r="A18" t="s">
        <v>14</v>
      </c>
      <c r="B18" s="3">
        <v>45294</v>
      </c>
      <c r="C18">
        <v>25.5</v>
      </c>
      <c r="D18">
        <v>25.77</v>
      </c>
      <c r="E18">
        <v>25.06</v>
      </c>
      <c r="F18">
        <v>25.33</v>
      </c>
      <c r="G18">
        <v>25.6</v>
      </c>
      <c r="H18">
        <v>-0.27</v>
      </c>
      <c r="I18">
        <v>-1.0547</v>
      </c>
      <c r="J18">
        <v>739696.11</v>
      </c>
      <c r="K18">
        <v>1880494.907</v>
      </c>
      <c r="L18" t="s">
        <v>103</v>
      </c>
      <c r="M18" t="s">
        <v>104</v>
      </c>
      <c r="N18" s="3">
        <v>45362</v>
      </c>
      <c r="O18">
        <v>17</v>
      </c>
      <c r="P18">
        <v>59</v>
      </c>
      <c r="Q18">
        <v>-42</v>
      </c>
      <c r="R18" t="s">
        <v>105</v>
      </c>
    </row>
    <row r="19" spans="1:18">
      <c r="A19" t="s">
        <v>14</v>
      </c>
      <c r="B19" s="3">
        <v>45295</v>
      </c>
      <c r="C19">
        <v>25.42</v>
      </c>
      <c r="D19">
        <v>25.42</v>
      </c>
      <c r="E19">
        <v>24.76</v>
      </c>
      <c r="F19">
        <v>24.94</v>
      </c>
      <c r="G19">
        <v>25.33</v>
      </c>
      <c r="H19">
        <v>-0.39</v>
      </c>
      <c r="I19">
        <v>-1.5397</v>
      </c>
      <c r="J19">
        <v>774603.77</v>
      </c>
      <c r="K19">
        <v>1934000.255</v>
      </c>
      <c r="L19" t="s">
        <v>103</v>
      </c>
      <c r="M19" t="s">
        <v>104</v>
      </c>
      <c r="N19" s="3">
        <v>45362</v>
      </c>
      <c r="O19">
        <v>18</v>
      </c>
      <c r="P19">
        <v>59</v>
      </c>
      <c r="Q19">
        <v>-41</v>
      </c>
      <c r="R19" t="s">
        <v>105</v>
      </c>
    </row>
    <row r="20" spans="1:18">
      <c r="A20" t="s">
        <v>14</v>
      </c>
      <c r="B20" s="3">
        <v>45296</v>
      </c>
      <c r="C20">
        <v>25.02</v>
      </c>
      <c r="D20">
        <v>25.33</v>
      </c>
      <c r="E20">
        <v>24.38</v>
      </c>
      <c r="F20">
        <v>24.55</v>
      </c>
      <c r="G20">
        <v>24.94</v>
      </c>
      <c r="H20">
        <v>-0.39</v>
      </c>
      <c r="I20">
        <v>-1.5638</v>
      </c>
      <c r="J20">
        <v>961239.17</v>
      </c>
      <c r="K20">
        <v>2385200.566</v>
      </c>
      <c r="L20" t="s">
        <v>103</v>
      </c>
      <c r="M20" t="s">
        <v>104</v>
      </c>
      <c r="N20" s="3">
        <v>45362</v>
      </c>
      <c r="O20">
        <v>19</v>
      </c>
      <c r="P20">
        <v>59</v>
      </c>
      <c r="Q20">
        <v>-40</v>
      </c>
      <c r="R20" t="s">
        <v>105</v>
      </c>
    </row>
    <row r="21" spans="1:18">
      <c r="A21" t="s">
        <v>14</v>
      </c>
      <c r="B21" s="3">
        <v>45299</v>
      </c>
      <c r="C21">
        <v>24.48</v>
      </c>
      <c r="D21">
        <v>24.5</v>
      </c>
      <c r="E21">
        <v>23.39</v>
      </c>
      <c r="F21">
        <v>23.4</v>
      </c>
      <c r="G21">
        <v>24.55</v>
      </c>
      <c r="H21">
        <v>-1.15</v>
      </c>
      <c r="I21">
        <v>-4.6843</v>
      </c>
      <c r="J21">
        <v>1160358.99</v>
      </c>
      <c r="K21">
        <v>2748155.04</v>
      </c>
      <c r="L21" t="s">
        <v>103</v>
      </c>
      <c r="M21" t="s">
        <v>104</v>
      </c>
      <c r="N21" s="3">
        <v>45362</v>
      </c>
      <c r="O21">
        <v>20</v>
      </c>
      <c r="P21">
        <v>59</v>
      </c>
      <c r="Q21">
        <v>-39</v>
      </c>
      <c r="R21" t="s">
        <v>105</v>
      </c>
    </row>
    <row r="22" spans="1:18">
      <c r="A22" t="s">
        <v>14</v>
      </c>
      <c r="B22" s="3">
        <v>45300</v>
      </c>
      <c r="C22">
        <v>23.54</v>
      </c>
      <c r="D22">
        <v>24.15</v>
      </c>
      <c r="E22">
        <v>23.42</v>
      </c>
      <c r="F22">
        <v>23.77</v>
      </c>
      <c r="G22">
        <v>23.4</v>
      </c>
      <c r="H22">
        <v>0.37</v>
      </c>
      <c r="I22">
        <v>1.5812</v>
      </c>
      <c r="J22">
        <v>873154.88</v>
      </c>
      <c r="K22">
        <v>2076434.773</v>
      </c>
      <c r="L22" t="s">
        <v>103</v>
      </c>
      <c r="M22" t="s">
        <v>104</v>
      </c>
      <c r="N22" s="3">
        <v>45362</v>
      </c>
      <c r="O22">
        <v>21</v>
      </c>
      <c r="P22">
        <v>59</v>
      </c>
      <c r="Q22">
        <v>-38</v>
      </c>
      <c r="R22" t="s">
        <v>105</v>
      </c>
    </row>
    <row r="23" spans="1:18">
      <c r="A23" t="s">
        <v>14</v>
      </c>
      <c r="B23" s="3">
        <v>45301</v>
      </c>
      <c r="C23">
        <v>23.61</v>
      </c>
      <c r="D23">
        <v>24.24</v>
      </c>
      <c r="E23">
        <v>23.25</v>
      </c>
      <c r="F23">
        <v>23.8</v>
      </c>
      <c r="G23">
        <v>23.77</v>
      </c>
      <c r="H23">
        <v>0.03</v>
      </c>
      <c r="I23">
        <v>0.1262</v>
      </c>
      <c r="J23">
        <v>782668.39</v>
      </c>
      <c r="K23">
        <v>1865512.801</v>
      </c>
      <c r="L23" t="s">
        <v>103</v>
      </c>
      <c r="M23" t="s">
        <v>104</v>
      </c>
      <c r="N23" s="3">
        <v>45362</v>
      </c>
      <c r="O23">
        <v>22</v>
      </c>
      <c r="P23">
        <v>59</v>
      </c>
      <c r="Q23">
        <v>-37</v>
      </c>
      <c r="R23" t="s">
        <v>105</v>
      </c>
    </row>
    <row r="24" spans="1:18">
      <c r="A24" t="s">
        <v>14</v>
      </c>
      <c r="B24" s="3">
        <v>45302</v>
      </c>
      <c r="C24">
        <v>23.76</v>
      </c>
      <c r="D24">
        <v>24.29</v>
      </c>
      <c r="E24">
        <v>23.66</v>
      </c>
      <c r="F24">
        <v>24.13</v>
      </c>
      <c r="G24">
        <v>23.8</v>
      </c>
      <c r="H24">
        <v>0.33</v>
      </c>
      <c r="I24">
        <v>1.3866</v>
      </c>
      <c r="J24">
        <v>907951.07</v>
      </c>
      <c r="K24">
        <v>2186442.645</v>
      </c>
      <c r="L24" t="s">
        <v>103</v>
      </c>
      <c r="M24" t="s">
        <v>104</v>
      </c>
      <c r="N24" s="3">
        <v>45362</v>
      </c>
      <c r="O24">
        <v>23</v>
      </c>
      <c r="P24">
        <v>59</v>
      </c>
      <c r="Q24">
        <v>-36</v>
      </c>
      <c r="R24" t="s">
        <v>105</v>
      </c>
    </row>
    <row r="25" spans="1:18">
      <c r="A25" t="s">
        <v>14</v>
      </c>
      <c r="B25" s="3">
        <v>45303</v>
      </c>
      <c r="C25">
        <v>23.97</v>
      </c>
      <c r="D25">
        <v>24.01</v>
      </c>
      <c r="E25">
        <v>23.54</v>
      </c>
      <c r="F25">
        <v>23.56</v>
      </c>
      <c r="G25">
        <v>24.13</v>
      </c>
      <c r="H25">
        <v>-0.57</v>
      </c>
      <c r="I25">
        <v>-2.3622</v>
      </c>
      <c r="J25">
        <v>718093.78</v>
      </c>
      <c r="K25">
        <v>1705826.673</v>
      </c>
      <c r="L25" t="s">
        <v>103</v>
      </c>
      <c r="M25" t="s">
        <v>104</v>
      </c>
      <c r="N25" s="3">
        <v>45362</v>
      </c>
      <c r="O25">
        <v>24</v>
      </c>
      <c r="P25">
        <v>59</v>
      </c>
      <c r="Q25">
        <v>-35</v>
      </c>
      <c r="R25" t="s">
        <v>105</v>
      </c>
    </row>
    <row r="26" spans="1:18">
      <c r="A26" t="s">
        <v>14</v>
      </c>
      <c r="B26" s="3">
        <v>45306</v>
      </c>
      <c r="C26">
        <v>23.31</v>
      </c>
      <c r="D26">
        <v>23.93</v>
      </c>
      <c r="E26">
        <v>23.25</v>
      </c>
      <c r="F26">
        <v>23.63</v>
      </c>
      <c r="G26">
        <v>23.56</v>
      </c>
      <c r="H26">
        <v>0.07</v>
      </c>
      <c r="I26">
        <v>0.2971</v>
      </c>
      <c r="J26">
        <v>498829.74</v>
      </c>
      <c r="K26">
        <v>1178160.059</v>
      </c>
      <c r="L26" t="s">
        <v>103</v>
      </c>
      <c r="M26" t="s">
        <v>104</v>
      </c>
      <c r="N26" s="3">
        <v>45362</v>
      </c>
      <c r="O26">
        <v>25</v>
      </c>
      <c r="P26">
        <v>59</v>
      </c>
      <c r="Q26">
        <v>-34</v>
      </c>
      <c r="R26" t="s">
        <v>105</v>
      </c>
    </row>
    <row r="27" spans="1:18">
      <c r="A27" t="s">
        <v>14</v>
      </c>
      <c r="B27" s="3">
        <v>45307</v>
      </c>
      <c r="C27">
        <v>23.48</v>
      </c>
      <c r="D27">
        <v>24.1</v>
      </c>
      <c r="E27">
        <v>23.31</v>
      </c>
      <c r="F27">
        <v>24.07</v>
      </c>
      <c r="G27">
        <v>23.63</v>
      </c>
      <c r="H27">
        <v>0.44</v>
      </c>
      <c r="I27">
        <v>1.862</v>
      </c>
      <c r="J27">
        <v>728181.07</v>
      </c>
      <c r="K27">
        <v>1725274.653</v>
      </c>
      <c r="L27" t="s">
        <v>103</v>
      </c>
      <c r="M27" t="s">
        <v>104</v>
      </c>
      <c r="N27" s="3">
        <v>45362</v>
      </c>
      <c r="O27">
        <v>26</v>
      </c>
      <c r="P27">
        <v>59</v>
      </c>
      <c r="Q27">
        <v>-33</v>
      </c>
      <c r="R27" t="s">
        <v>105</v>
      </c>
    </row>
    <row r="28" spans="1:18">
      <c r="A28" t="s">
        <v>14</v>
      </c>
      <c r="B28" s="3">
        <v>45308</v>
      </c>
      <c r="C28">
        <v>23.92</v>
      </c>
      <c r="D28">
        <v>24.1</v>
      </c>
      <c r="E28">
        <v>23.37</v>
      </c>
      <c r="F28">
        <v>23.37</v>
      </c>
      <c r="G28">
        <v>24.07</v>
      </c>
      <c r="H28">
        <v>-0.7</v>
      </c>
      <c r="I28">
        <v>-2.9082</v>
      </c>
      <c r="J28">
        <v>627685.9</v>
      </c>
      <c r="K28">
        <v>1488578.635</v>
      </c>
      <c r="L28" t="s">
        <v>103</v>
      </c>
      <c r="M28" t="s">
        <v>104</v>
      </c>
      <c r="N28" s="3">
        <v>45362</v>
      </c>
      <c r="O28">
        <v>27</v>
      </c>
      <c r="P28">
        <v>59</v>
      </c>
      <c r="Q28">
        <v>-32</v>
      </c>
      <c r="R28" t="s">
        <v>105</v>
      </c>
    </row>
    <row r="29" spans="1:18">
      <c r="A29" t="s">
        <v>14</v>
      </c>
      <c r="B29" s="3">
        <v>45309</v>
      </c>
      <c r="C29">
        <v>23.2</v>
      </c>
      <c r="D29">
        <v>24.05</v>
      </c>
      <c r="E29">
        <v>23.1</v>
      </c>
      <c r="F29">
        <v>24.05</v>
      </c>
      <c r="G29">
        <v>23.37</v>
      </c>
      <c r="H29">
        <v>0.68</v>
      </c>
      <c r="I29">
        <v>2.9097</v>
      </c>
      <c r="J29">
        <v>1097115.18</v>
      </c>
      <c r="K29">
        <v>2585206.215</v>
      </c>
      <c r="L29" t="s">
        <v>103</v>
      </c>
      <c r="M29" t="s">
        <v>104</v>
      </c>
      <c r="N29" s="3">
        <v>45362</v>
      </c>
      <c r="O29">
        <v>28</v>
      </c>
      <c r="P29">
        <v>59</v>
      </c>
      <c r="Q29">
        <v>-31</v>
      </c>
      <c r="R29" t="s">
        <v>105</v>
      </c>
    </row>
    <row r="30" spans="1:18">
      <c r="A30" t="s">
        <v>14</v>
      </c>
      <c r="B30" s="3">
        <v>45310</v>
      </c>
      <c r="C30">
        <v>23.99</v>
      </c>
      <c r="D30">
        <v>24.3</v>
      </c>
      <c r="E30">
        <v>23.72</v>
      </c>
      <c r="F30">
        <v>23.8</v>
      </c>
      <c r="G30">
        <v>24.05</v>
      </c>
      <c r="H30">
        <v>-0.25</v>
      </c>
      <c r="I30">
        <v>-1.0395</v>
      </c>
      <c r="J30">
        <v>766255.82</v>
      </c>
      <c r="K30">
        <v>1839677.859</v>
      </c>
      <c r="L30" t="s">
        <v>103</v>
      </c>
      <c r="M30" t="s">
        <v>104</v>
      </c>
      <c r="N30" s="3">
        <v>45362</v>
      </c>
      <c r="O30">
        <v>29</v>
      </c>
      <c r="P30">
        <v>59</v>
      </c>
      <c r="Q30">
        <v>-30</v>
      </c>
      <c r="R30" t="s">
        <v>105</v>
      </c>
    </row>
    <row r="31" spans="1:18">
      <c r="A31" t="s">
        <v>14</v>
      </c>
      <c r="B31" s="3">
        <v>45313</v>
      </c>
      <c r="C31">
        <v>23.85</v>
      </c>
      <c r="D31">
        <v>23.93</v>
      </c>
      <c r="E31">
        <v>22.67</v>
      </c>
      <c r="F31">
        <v>22.87</v>
      </c>
      <c r="G31">
        <v>23.8</v>
      </c>
      <c r="H31">
        <v>-0.93</v>
      </c>
      <c r="I31">
        <v>-3.9076</v>
      </c>
      <c r="J31">
        <v>875640.72</v>
      </c>
      <c r="K31">
        <v>2046846.317</v>
      </c>
      <c r="L31" t="s">
        <v>103</v>
      </c>
      <c r="M31" t="s">
        <v>104</v>
      </c>
      <c r="N31" s="3">
        <v>45362</v>
      </c>
      <c r="O31">
        <v>30</v>
      </c>
      <c r="P31">
        <v>59</v>
      </c>
      <c r="Q31">
        <v>-29</v>
      </c>
      <c r="R31" t="s">
        <v>105</v>
      </c>
    </row>
    <row r="32" spans="1:18">
      <c r="A32" t="s">
        <v>14</v>
      </c>
      <c r="B32" s="3">
        <v>45314</v>
      </c>
      <c r="C32">
        <v>22.8</v>
      </c>
      <c r="D32">
        <v>24.03</v>
      </c>
      <c r="E32">
        <v>22.71</v>
      </c>
      <c r="F32">
        <v>23.89</v>
      </c>
      <c r="G32">
        <v>22.87</v>
      </c>
      <c r="H32">
        <v>1.02</v>
      </c>
      <c r="I32">
        <v>4.46</v>
      </c>
      <c r="J32">
        <v>1158605</v>
      </c>
      <c r="K32">
        <v>2735022.851</v>
      </c>
      <c r="L32" t="s">
        <v>103</v>
      </c>
      <c r="M32" t="s">
        <v>104</v>
      </c>
      <c r="N32" s="3">
        <v>45362</v>
      </c>
      <c r="O32">
        <v>31</v>
      </c>
      <c r="P32">
        <v>59</v>
      </c>
      <c r="Q32">
        <v>-28</v>
      </c>
      <c r="R32" t="s">
        <v>105</v>
      </c>
    </row>
    <row r="33" spans="1:18">
      <c r="A33" t="s">
        <v>14</v>
      </c>
      <c r="B33" s="3">
        <v>45315</v>
      </c>
      <c r="C33">
        <v>24.04</v>
      </c>
      <c r="D33">
        <v>24.09</v>
      </c>
      <c r="E33">
        <v>23.11</v>
      </c>
      <c r="F33">
        <v>24.02</v>
      </c>
      <c r="G33">
        <v>23.89</v>
      </c>
      <c r="H33">
        <v>0.13</v>
      </c>
      <c r="I33">
        <v>0.5442</v>
      </c>
      <c r="J33">
        <v>1030620.42</v>
      </c>
      <c r="K33">
        <v>2436285.281</v>
      </c>
      <c r="L33" t="s">
        <v>103</v>
      </c>
      <c r="M33" t="s">
        <v>104</v>
      </c>
      <c r="N33" s="3">
        <v>45362</v>
      </c>
      <c r="O33">
        <v>32</v>
      </c>
      <c r="P33">
        <v>59</v>
      </c>
      <c r="Q33">
        <v>-27</v>
      </c>
      <c r="R33" t="s">
        <v>105</v>
      </c>
    </row>
    <row r="34" spans="1:18">
      <c r="A34" t="s">
        <v>14</v>
      </c>
      <c r="B34" s="3">
        <v>45316</v>
      </c>
      <c r="C34">
        <v>23.85</v>
      </c>
      <c r="D34">
        <v>24.89</v>
      </c>
      <c r="E34">
        <v>23.71</v>
      </c>
      <c r="F34">
        <v>24.72</v>
      </c>
      <c r="G34">
        <v>24.02</v>
      </c>
      <c r="H34">
        <v>0.7</v>
      </c>
      <c r="I34">
        <v>2.9142</v>
      </c>
      <c r="J34">
        <v>1436592.97</v>
      </c>
      <c r="K34">
        <v>3509606.262</v>
      </c>
      <c r="L34" t="s">
        <v>103</v>
      </c>
      <c r="M34" t="s">
        <v>104</v>
      </c>
      <c r="N34" s="3">
        <v>45362</v>
      </c>
      <c r="O34">
        <v>33</v>
      </c>
      <c r="P34">
        <v>59</v>
      </c>
      <c r="Q34">
        <v>-26</v>
      </c>
      <c r="R34" t="s">
        <v>105</v>
      </c>
    </row>
    <row r="35" spans="1:18">
      <c r="A35" t="s">
        <v>14</v>
      </c>
      <c r="B35" s="3">
        <v>45317</v>
      </c>
      <c r="C35">
        <v>24.52</v>
      </c>
      <c r="D35">
        <v>24.66</v>
      </c>
      <c r="E35">
        <v>24.11</v>
      </c>
      <c r="F35">
        <v>24.22</v>
      </c>
      <c r="G35">
        <v>24.72</v>
      </c>
      <c r="H35">
        <v>-0.5</v>
      </c>
      <c r="I35">
        <v>-2.0227</v>
      </c>
      <c r="J35">
        <v>953656.27</v>
      </c>
      <c r="K35">
        <v>2326456.768</v>
      </c>
      <c r="L35" t="s">
        <v>103</v>
      </c>
      <c r="M35" t="s">
        <v>104</v>
      </c>
      <c r="N35" s="3">
        <v>45362</v>
      </c>
      <c r="O35">
        <v>34</v>
      </c>
      <c r="P35">
        <v>59</v>
      </c>
      <c r="Q35">
        <v>-25</v>
      </c>
      <c r="R35" t="s">
        <v>105</v>
      </c>
    </row>
    <row r="36" spans="1:18">
      <c r="A36" t="s">
        <v>14</v>
      </c>
      <c r="B36" s="3">
        <v>45320</v>
      </c>
      <c r="C36">
        <v>24.4</v>
      </c>
      <c r="D36">
        <v>24.46</v>
      </c>
      <c r="E36">
        <v>23.56</v>
      </c>
      <c r="F36">
        <v>23.63</v>
      </c>
      <c r="G36">
        <v>24.22</v>
      </c>
      <c r="H36">
        <v>-0.59</v>
      </c>
      <c r="I36">
        <v>-2.436</v>
      </c>
      <c r="J36">
        <v>789844.41</v>
      </c>
      <c r="K36">
        <v>1882641.549</v>
      </c>
      <c r="L36" t="s">
        <v>103</v>
      </c>
      <c r="M36" t="s">
        <v>104</v>
      </c>
      <c r="N36" s="3">
        <v>45362</v>
      </c>
      <c r="O36">
        <v>35</v>
      </c>
      <c r="P36">
        <v>59</v>
      </c>
      <c r="Q36">
        <v>-24</v>
      </c>
      <c r="R36" t="s">
        <v>105</v>
      </c>
    </row>
    <row r="37" spans="1:18">
      <c r="A37" t="s">
        <v>14</v>
      </c>
      <c r="B37" s="3">
        <v>45321</v>
      </c>
      <c r="C37">
        <v>23.42</v>
      </c>
      <c r="D37">
        <v>23.75</v>
      </c>
      <c r="E37">
        <v>22.8</v>
      </c>
      <c r="F37">
        <v>22.85</v>
      </c>
      <c r="G37">
        <v>23.63</v>
      </c>
      <c r="H37">
        <v>-0.78</v>
      </c>
      <c r="I37">
        <v>-3.3009</v>
      </c>
      <c r="J37">
        <v>775232.36</v>
      </c>
      <c r="K37">
        <v>1802882.921</v>
      </c>
      <c r="L37" t="s">
        <v>103</v>
      </c>
      <c r="M37" t="s">
        <v>104</v>
      </c>
      <c r="N37" s="3">
        <v>45362</v>
      </c>
      <c r="O37">
        <v>36</v>
      </c>
      <c r="P37">
        <v>59</v>
      </c>
      <c r="Q37">
        <v>-23</v>
      </c>
      <c r="R37" t="s">
        <v>105</v>
      </c>
    </row>
    <row r="38" spans="1:18">
      <c r="A38" t="s">
        <v>14</v>
      </c>
      <c r="B38" s="3">
        <v>45322</v>
      </c>
      <c r="C38">
        <v>22.75</v>
      </c>
      <c r="D38">
        <v>22.86</v>
      </c>
      <c r="E38">
        <v>21.94</v>
      </c>
      <c r="F38">
        <v>21.96</v>
      </c>
      <c r="G38">
        <v>22.85</v>
      </c>
      <c r="H38">
        <v>-0.89</v>
      </c>
      <c r="I38">
        <v>-3.895</v>
      </c>
      <c r="J38">
        <v>895286.27</v>
      </c>
      <c r="K38">
        <v>1996097.252</v>
      </c>
      <c r="L38" t="s">
        <v>103</v>
      </c>
      <c r="M38" t="s">
        <v>104</v>
      </c>
      <c r="N38" s="3">
        <v>45362</v>
      </c>
      <c r="O38">
        <v>37</v>
      </c>
      <c r="P38">
        <v>59</v>
      </c>
      <c r="Q38">
        <v>-22</v>
      </c>
      <c r="R38" t="s">
        <v>105</v>
      </c>
    </row>
    <row r="39" spans="1:18">
      <c r="A39" t="s">
        <v>14</v>
      </c>
      <c r="B39" s="3">
        <v>45323</v>
      </c>
      <c r="C39">
        <v>21.68</v>
      </c>
      <c r="D39">
        <v>22.78</v>
      </c>
      <c r="E39">
        <v>21.55</v>
      </c>
      <c r="F39">
        <v>22.27</v>
      </c>
      <c r="G39">
        <v>21.96</v>
      </c>
      <c r="H39">
        <v>0.31</v>
      </c>
      <c r="I39">
        <v>1.4117</v>
      </c>
      <c r="J39">
        <v>778354.15</v>
      </c>
      <c r="K39">
        <v>1734917.876</v>
      </c>
      <c r="L39" t="s">
        <v>103</v>
      </c>
      <c r="M39" t="s">
        <v>104</v>
      </c>
      <c r="N39" s="3">
        <v>45362</v>
      </c>
      <c r="O39">
        <v>38</v>
      </c>
      <c r="P39">
        <v>59</v>
      </c>
      <c r="Q39">
        <v>-21</v>
      </c>
      <c r="R39" t="s">
        <v>105</v>
      </c>
    </row>
    <row r="40" spans="1:18">
      <c r="A40" t="s">
        <v>14</v>
      </c>
      <c r="B40" s="3">
        <v>45324</v>
      </c>
      <c r="C40">
        <v>22.32</v>
      </c>
      <c r="D40">
        <v>22.62</v>
      </c>
      <c r="E40">
        <v>21.03</v>
      </c>
      <c r="F40">
        <v>21.7</v>
      </c>
      <c r="G40">
        <v>22.27</v>
      </c>
      <c r="H40">
        <v>-0.57</v>
      </c>
      <c r="I40">
        <v>-2.5595</v>
      </c>
      <c r="J40">
        <v>843858.43</v>
      </c>
      <c r="K40">
        <v>1842371.239</v>
      </c>
      <c r="L40" t="s">
        <v>103</v>
      </c>
      <c r="M40" t="s">
        <v>104</v>
      </c>
      <c r="N40" s="3">
        <v>45362</v>
      </c>
      <c r="O40">
        <v>39</v>
      </c>
      <c r="P40">
        <v>59</v>
      </c>
      <c r="Q40">
        <v>-20</v>
      </c>
      <c r="R40" t="s">
        <v>105</v>
      </c>
    </row>
    <row r="41" spans="1:18">
      <c r="A41" t="s">
        <v>14</v>
      </c>
      <c r="B41" s="3">
        <v>45327</v>
      </c>
      <c r="C41">
        <v>21.43</v>
      </c>
      <c r="D41">
        <v>22.33</v>
      </c>
      <c r="E41">
        <v>20.89</v>
      </c>
      <c r="F41">
        <v>21.86</v>
      </c>
      <c r="G41">
        <v>21.7</v>
      </c>
      <c r="H41">
        <v>0.16</v>
      </c>
      <c r="I41">
        <v>0.7373</v>
      </c>
      <c r="J41">
        <v>1006248.11</v>
      </c>
      <c r="K41">
        <v>2185257.635</v>
      </c>
      <c r="L41" t="s">
        <v>103</v>
      </c>
      <c r="M41" t="s">
        <v>104</v>
      </c>
      <c r="N41" s="3">
        <v>45362</v>
      </c>
      <c r="O41">
        <v>40</v>
      </c>
      <c r="P41">
        <v>59</v>
      </c>
      <c r="Q41">
        <v>-19</v>
      </c>
      <c r="R41" t="s">
        <v>105</v>
      </c>
    </row>
    <row r="42" spans="1:18">
      <c r="A42" t="s">
        <v>14</v>
      </c>
      <c r="B42" s="3">
        <v>45328</v>
      </c>
      <c r="C42">
        <v>21.58</v>
      </c>
      <c r="D42">
        <v>23.09</v>
      </c>
      <c r="E42">
        <v>21.56</v>
      </c>
      <c r="F42">
        <v>23.08</v>
      </c>
      <c r="G42">
        <v>21.86</v>
      </c>
      <c r="H42">
        <v>1.22</v>
      </c>
      <c r="I42">
        <v>5.581</v>
      </c>
      <c r="J42">
        <v>1122664.51</v>
      </c>
      <c r="K42">
        <v>2529259.75</v>
      </c>
      <c r="L42" t="s">
        <v>103</v>
      </c>
      <c r="M42" t="s">
        <v>104</v>
      </c>
      <c r="N42" s="3">
        <v>45362</v>
      </c>
      <c r="O42">
        <v>41</v>
      </c>
      <c r="P42">
        <v>59</v>
      </c>
      <c r="Q42">
        <v>-18</v>
      </c>
      <c r="R42" t="s">
        <v>105</v>
      </c>
    </row>
    <row r="43" spans="1:18">
      <c r="A43" t="s">
        <v>14</v>
      </c>
      <c r="B43" s="3">
        <v>45329</v>
      </c>
      <c r="C43">
        <v>23.07</v>
      </c>
      <c r="D43">
        <v>23.34</v>
      </c>
      <c r="E43">
        <v>22.81</v>
      </c>
      <c r="F43">
        <v>23.15</v>
      </c>
      <c r="G43">
        <v>23.08</v>
      </c>
      <c r="H43">
        <v>0.07</v>
      </c>
      <c r="I43">
        <v>0.3033</v>
      </c>
      <c r="J43">
        <v>983805.9</v>
      </c>
      <c r="K43">
        <v>2267801.101</v>
      </c>
      <c r="L43" t="s">
        <v>103</v>
      </c>
      <c r="M43" t="s">
        <v>104</v>
      </c>
      <c r="N43" s="3">
        <v>45362</v>
      </c>
      <c r="O43">
        <v>42</v>
      </c>
      <c r="P43">
        <v>59</v>
      </c>
      <c r="Q43">
        <v>-17</v>
      </c>
      <c r="R43" t="s">
        <v>105</v>
      </c>
    </row>
    <row r="44" spans="1:18">
      <c r="A44" t="s">
        <v>14</v>
      </c>
      <c r="B44" s="3">
        <v>45330</v>
      </c>
      <c r="C44">
        <v>23.38</v>
      </c>
      <c r="D44">
        <v>24.15</v>
      </c>
      <c r="E44">
        <v>23.3</v>
      </c>
      <c r="F44">
        <v>24</v>
      </c>
      <c r="G44">
        <v>23.15</v>
      </c>
      <c r="H44">
        <v>0.85</v>
      </c>
      <c r="I44">
        <v>3.6717</v>
      </c>
      <c r="J44">
        <v>1083457.76</v>
      </c>
      <c r="K44">
        <v>2580703.642</v>
      </c>
      <c r="L44" t="s">
        <v>103</v>
      </c>
      <c r="M44" t="s">
        <v>104</v>
      </c>
      <c r="N44" s="3">
        <v>45362</v>
      </c>
      <c r="O44">
        <v>43</v>
      </c>
      <c r="P44">
        <v>59</v>
      </c>
      <c r="Q44">
        <v>-16</v>
      </c>
      <c r="R44" t="s">
        <v>105</v>
      </c>
    </row>
    <row r="45" spans="1:18">
      <c r="A45" t="s">
        <v>14</v>
      </c>
      <c r="B45" s="3">
        <v>45341</v>
      </c>
      <c r="C45">
        <v>24.6</v>
      </c>
      <c r="D45">
        <v>24.77</v>
      </c>
      <c r="E45">
        <v>24.06</v>
      </c>
      <c r="F45">
        <v>24.7</v>
      </c>
      <c r="G45">
        <v>24</v>
      </c>
      <c r="H45">
        <v>0.7</v>
      </c>
      <c r="I45">
        <v>2.9167</v>
      </c>
      <c r="J45">
        <v>1205905.76</v>
      </c>
      <c r="K45">
        <v>2944412.877</v>
      </c>
      <c r="L45" t="s">
        <v>103</v>
      </c>
      <c r="M45" t="s">
        <v>104</v>
      </c>
      <c r="N45" s="3">
        <v>45362</v>
      </c>
      <c r="O45">
        <v>44</v>
      </c>
      <c r="P45">
        <v>59</v>
      </c>
      <c r="Q45">
        <v>-15</v>
      </c>
      <c r="R45" t="s">
        <v>105</v>
      </c>
    </row>
    <row r="46" spans="1:18">
      <c r="A46" t="s">
        <v>14</v>
      </c>
      <c r="B46" s="3">
        <v>45342</v>
      </c>
      <c r="C46">
        <v>24.49</v>
      </c>
      <c r="D46">
        <v>24.56</v>
      </c>
      <c r="E46">
        <v>24.1</v>
      </c>
      <c r="F46">
        <v>24.29</v>
      </c>
      <c r="G46">
        <v>24.7</v>
      </c>
      <c r="H46">
        <v>-0.41</v>
      </c>
      <c r="I46">
        <v>-1.6599</v>
      </c>
      <c r="J46">
        <v>800374.42</v>
      </c>
      <c r="K46">
        <v>1945535.622</v>
      </c>
      <c r="L46" t="s">
        <v>103</v>
      </c>
      <c r="M46" t="s">
        <v>104</v>
      </c>
      <c r="N46" s="3">
        <v>45362</v>
      </c>
      <c r="O46">
        <v>45</v>
      </c>
      <c r="P46">
        <v>59</v>
      </c>
      <c r="Q46">
        <v>-14</v>
      </c>
      <c r="R46" t="s">
        <v>105</v>
      </c>
    </row>
    <row r="47" spans="1:18">
      <c r="A47" t="s">
        <v>14</v>
      </c>
      <c r="B47" s="3">
        <v>45343</v>
      </c>
      <c r="C47">
        <v>24.04</v>
      </c>
      <c r="D47">
        <v>24.97</v>
      </c>
      <c r="E47">
        <v>24.01</v>
      </c>
      <c r="F47">
        <v>24.44</v>
      </c>
      <c r="G47">
        <v>24.29</v>
      </c>
      <c r="H47">
        <v>0.15</v>
      </c>
      <c r="I47">
        <v>0.6175</v>
      </c>
      <c r="J47">
        <v>1113942.5</v>
      </c>
      <c r="K47">
        <v>2736893.699</v>
      </c>
      <c r="L47" t="s">
        <v>103</v>
      </c>
      <c r="M47" t="s">
        <v>104</v>
      </c>
      <c r="N47" s="3">
        <v>45362</v>
      </c>
      <c r="O47">
        <v>46</v>
      </c>
      <c r="P47">
        <v>59</v>
      </c>
      <c r="Q47">
        <v>-13</v>
      </c>
      <c r="R47" t="s">
        <v>105</v>
      </c>
    </row>
    <row r="48" spans="1:18">
      <c r="A48" t="s">
        <v>14</v>
      </c>
      <c r="B48" s="3">
        <v>45344</v>
      </c>
      <c r="C48">
        <v>24.99</v>
      </c>
      <c r="D48">
        <v>25.9</v>
      </c>
      <c r="E48">
        <v>24.84</v>
      </c>
      <c r="F48">
        <v>25.32</v>
      </c>
      <c r="G48">
        <v>24.44</v>
      </c>
      <c r="H48">
        <v>0.88</v>
      </c>
      <c r="I48">
        <v>3.6007</v>
      </c>
      <c r="J48">
        <v>1394077.4</v>
      </c>
      <c r="K48">
        <v>3525555.188</v>
      </c>
      <c r="L48" t="s">
        <v>103</v>
      </c>
      <c r="M48" t="s">
        <v>104</v>
      </c>
      <c r="N48" s="3">
        <v>45362</v>
      </c>
      <c r="O48">
        <v>47</v>
      </c>
      <c r="P48">
        <v>59</v>
      </c>
      <c r="Q48">
        <v>-12</v>
      </c>
      <c r="R48" t="s">
        <v>105</v>
      </c>
    </row>
    <row r="49" spans="1:18">
      <c r="A49" t="s">
        <v>14</v>
      </c>
      <c r="B49" s="3">
        <v>45345</v>
      </c>
      <c r="C49">
        <v>25.6</v>
      </c>
      <c r="D49">
        <v>25.74</v>
      </c>
      <c r="E49">
        <v>25.25</v>
      </c>
      <c r="F49">
        <v>25.52</v>
      </c>
      <c r="G49">
        <v>25.32</v>
      </c>
      <c r="H49">
        <v>0.2</v>
      </c>
      <c r="I49">
        <v>0.7899</v>
      </c>
      <c r="J49">
        <v>1032786.24</v>
      </c>
      <c r="K49">
        <v>2628971.676</v>
      </c>
      <c r="L49" t="s">
        <v>103</v>
      </c>
      <c r="M49" t="s">
        <v>104</v>
      </c>
      <c r="N49" s="3">
        <v>45362</v>
      </c>
      <c r="O49">
        <v>48</v>
      </c>
      <c r="P49">
        <v>59</v>
      </c>
      <c r="Q49">
        <v>-11</v>
      </c>
      <c r="R49" t="s">
        <v>105</v>
      </c>
    </row>
    <row r="50" spans="1:18">
      <c r="A50" t="s">
        <v>14</v>
      </c>
      <c r="B50" s="3">
        <v>45348</v>
      </c>
      <c r="C50">
        <v>25.66</v>
      </c>
      <c r="D50">
        <v>26.13</v>
      </c>
      <c r="E50">
        <v>25.42</v>
      </c>
      <c r="F50">
        <v>25.6</v>
      </c>
      <c r="G50">
        <v>25.52</v>
      </c>
      <c r="H50">
        <v>0.08</v>
      </c>
      <c r="I50">
        <v>0.3135</v>
      </c>
      <c r="J50">
        <v>1159984.96</v>
      </c>
      <c r="K50">
        <v>2993132.812</v>
      </c>
      <c r="L50" t="s">
        <v>103</v>
      </c>
      <c r="M50" t="s">
        <v>104</v>
      </c>
      <c r="N50" s="3">
        <v>45362</v>
      </c>
      <c r="O50">
        <v>49</v>
      </c>
      <c r="P50">
        <v>59</v>
      </c>
      <c r="Q50">
        <v>-10</v>
      </c>
      <c r="R50" t="s">
        <v>105</v>
      </c>
    </row>
    <row r="51" spans="1:18">
      <c r="A51" t="s">
        <v>14</v>
      </c>
      <c r="B51" s="3">
        <v>45349</v>
      </c>
      <c r="C51">
        <v>25.5</v>
      </c>
      <c r="D51">
        <v>28.16</v>
      </c>
      <c r="E51">
        <v>25.38</v>
      </c>
      <c r="F51">
        <v>28.16</v>
      </c>
      <c r="G51">
        <v>25.6</v>
      </c>
      <c r="H51">
        <v>2.56</v>
      </c>
      <c r="I51">
        <v>10</v>
      </c>
      <c r="J51">
        <v>2894596.69</v>
      </c>
      <c r="K51">
        <v>7888985.736</v>
      </c>
      <c r="L51" t="s">
        <v>103</v>
      </c>
      <c r="M51" t="s">
        <v>104</v>
      </c>
      <c r="N51" s="3">
        <v>45362</v>
      </c>
      <c r="O51">
        <v>50</v>
      </c>
      <c r="P51">
        <v>59</v>
      </c>
      <c r="Q51">
        <v>-9</v>
      </c>
      <c r="R51" t="s">
        <v>105</v>
      </c>
    </row>
    <row r="52" spans="1:18">
      <c r="A52" t="s">
        <v>14</v>
      </c>
      <c r="B52" s="3">
        <v>45350</v>
      </c>
      <c r="C52">
        <v>28.88</v>
      </c>
      <c r="D52">
        <v>29.36</v>
      </c>
      <c r="E52">
        <v>27.38</v>
      </c>
      <c r="F52">
        <v>27.38</v>
      </c>
      <c r="G52">
        <v>28.16</v>
      </c>
      <c r="H52">
        <v>-0.78</v>
      </c>
      <c r="I52">
        <v>-2.7699</v>
      </c>
      <c r="J52">
        <v>3582094.77</v>
      </c>
      <c r="K52">
        <v>10215545.692</v>
      </c>
      <c r="L52" t="s">
        <v>103</v>
      </c>
      <c r="M52" t="s">
        <v>104</v>
      </c>
      <c r="N52" s="3">
        <v>45362</v>
      </c>
      <c r="O52">
        <v>51</v>
      </c>
      <c r="P52">
        <v>59</v>
      </c>
      <c r="Q52">
        <v>-8</v>
      </c>
      <c r="R52" t="s">
        <v>105</v>
      </c>
    </row>
    <row r="53" spans="1:18">
      <c r="A53" t="s">
        <v>14</v>
      </c>
      <c r="B53" s="3">
        <v>45351</v>
      </c>
      <c r="C53">
        <v>27.18</v>
      </c>
      <c r="D53">
        <v>29.98</v>
      </c>
      <c r="E53">
        <v>27.16</v>
      </c>
      <c r="F53">
        <v>29.86</v>
      </c>
      <c r="G53">
        <v>27.38</v>
      </c>
      <c r="H53">
        <v>2.48</v>
      </c>
      <c r="I53">
        <v>9.0577</v>
      </c>
      <c r="J53">
        <v>3453448.84</v>
      </c>
      <c r="K53">
        <v>10002562.488</v>
      </c>
      <c r="L53" t="s">
        <v>103</v>
      </c>
      <c r="M53" t="s">
        <v>104</v>
      </c>
      <c r="N53" s="3">
        <v>45362</v>
      </c>
      <c r="O53">
        <v>52</v>
      </c>
      <c r="P53">
        <v>59</v>
      </c>
      <c r="Q53">
        <v>-7</v>
      </c>
      <c r="R53" t="s">
        <v>105</v>
      </c>
    </row>
    <row r="54" spans="1:18">
      <c r="A54" t="s">
        <v>14</v>
      </c>
      <c r="B54" s="3">
        <v>45352</v>
      </c>
      <c r="C54">
        <v>29.85</v>
      </c>
      <c r="D54">
        <v>30.93</v>
      </c>
      <c r="E54">
        <v>29.48</v>
      </c>
      <c r="F54">
        <v>30.54</v>
      </c>
      <c r="G54">
        <v>29.86</v>
      </c>
      <c r="H54">
        <v>0.68</v>
      </c>
      <c r="I54">
        <v>2.2773</v>
      </c>
      <c r="J54">
        <v>3209033.4</v>
      </c>
      <c r="K54">
        <v>9702847.501</v>
      </c>
      <c r="L54" t="s">
        <v>103</v>
      </c>
      <c r="M54" t="s">
        <v>104</v>
      </c>
      <c r="N54" s="3">
        <v>45362</v>
      </c>
      <c r="O54">
        <v>53</v>
      </c>
      <c r="P54">
        <v>59</v>
      </c>
      <c r="Q54">
        <v>-6</v>
      </c>
      <c r="R54" t="s">
        <v>105</v>
      </c>
    </row>
    <row r="55" spans="1:18">
      <c r="A55" t="s">
        <v>14</v>
      </c>
      <c r="B55" s="3">
        <v>45355</v>
      </c>
      <c r="C55">
        <v>30.99</v>
      </c>
      <c r="D55">
        <v>31.2</v>
      </c>
      <c r="E55">
        <v>29.64</v>
      </c>
      <c r="F55">
        <v>30.27</v>
      </c>
      <c r="G55">
        <v>30.54</v>
      </c>
      <c r="H55">
        <v>-0.27</v>
      </c>
      <c r="I55">
        <v>-0.8841</v>
      </c>
      <c r="J55">
        <v>2508688.08</v>
      </c>
      <c r="K55">
        <v>7590688.175</v>
      </c>
      <c r="L55" t="s">
        <v>103</v>
      </c>
      <c r="M55" t="s">
        <v>104</v>
      </c>
      <c r="N55" s="3">
        <v>45362</v>
      </c>
      <c r="O55">
        <v>54</v>
      </c>
      <c r="P55">
        <v>59</v>
      </c>
      <c r="Q55">
        <v>-5</v>
      </c>
      <c r="R55" t="s">
        <v>105</v>
      </c>
    </row>
    <row r="56" spans="1:18">
      <c r="A56" t="s">
        <v>14</v>
      </c>
      <c r="B56" s="3">
        <v>45356</v>
      </c>
      <c r="C56">
        <v>29.72</v>
      </c>
      <c r="D56">
        <v>29.99</v>
      </c>
      <c r="E56">
        <v>28.92</v>
      </c>
      <c r="F56">
        <v>29.1</v>
      </c>
      <c r="G56">
        <v>30.27</v>
      </c>
      <c r="H56">
        <v>-1.17</v>
      </c>
      <c r="I56">
        <v>-3.8652</v>
      </c>
      <c r="J56">
        <v>2732851.15</v>
      </c>
      <c r="K56">
        <v>8038012.594</v>
      </c>
      <c r="L56" t="s">
        <v>103</v>
      </c>
      <c r="M56" t="s">
        <v>104</v>
      </c>
      <c r="N56" s="3">
        <v>45362</v>
      </c>
      <c r="O56">
        <v>55</v>
      </c>
      <c r="P56">
        <v>59</v>
      </c>
      <c r="Q56">
        <v>-4</v>
      </c>
      <c r="R56" t="s">
        <v>105</v>
      </c>
    </row>
    <row r="57" spans="1:18">
      <c r="A57" t="s">
        <v>14</v>
      </c>
      <c r="B57" s="3">
        <v>45357</v>
      </c>
      <c r="C57">
        <v>28.98</v>
      </c>
      <c r="D57">
        <v>30.49</v>
      </c>
      <c r="E57">
        <v>28.92</v>
      </c>
      <c r="F57">
        <v>29.57</v>
      </c>
      <c r="G57">
        <v>29.1</v>
      </c>
      <c r="H57">
        <v>0.47</v>
      </c>
      <c r="I57">
        <v>1.6151</v>
      </c>
      <c r="J57">
        <v>2226858.76</v>
      </c>
      <c r="K57">
        <v>6640398.892</v>
      </c>
      <c r="L57" t="s">
        <v>103</v>
      </c>
      <c r="M57" t="s">
        <v>104</v>
      </c>
      <c r="N57" s="3">
        <v>45362</v>
      </c>
      <c r="O57">
        <v>56</v>
      </c>
      <c r="P57">
        <v>59</v>
      </c>
      <c r="Q57">
        <v>-3</v>
      </c>
      <c r="R57" t="s">
        <v>105</v>
      </c>
    </row>
    <row r="58" spans="1:18">
      <c r="A58" t="s">
        <v>14</v>
      </c>
      <c r="B58" s="3">
        <v>45358</v>
      </c>
      <c r="C58">
        <v>29.49</v>
      </c>
      <c r="D58">
        <v>29.82</v>
      </c>
      <c r="E58">
        <v>28.52</v>
      </c>
      <c r="F58">
        <v>28.64</v>
      </c>
      <c r="G58">
        <v>29.57</v>
      </c>
      <c r="H58">
        <v>-0.93</v>
      </c>
      <c r="I58">
        <v>-3.1451</v>
      </c>
      <c r="J58">
        <v>1837098.42</v>
      </c>
      <c r="K58">
        <v>5339672.553</v>
      </c>
      <c r="L58" t="s">
        <v>103</v>
      </c>
      <c r="M58" t="s">
        <v>104</v>
      </c>
      <c r="N58" s="3">
        <v>45362</v>
      </c>
      <c r="O58">
        <v>57</v>
      </c>
      <c r="P58">
        <v>59</v>
      </c>
      <c r="Q58">
        <v>-2</v>
      </c>
      <c r="R58" t="s">
        <v>105</v>
      </c>
    </row>
    <row r="59" spans="1:18">
      <c r="A59" t="s">
        <v>14</v>
      </c>
      <c r="B59" s="3">
        <v>45359</v>
      </c>
      <c r="C59">
        <v>28.9</v>
      </c>
      <c r="D59">
        <v>30.25</v>
      </c>
      <c r="E59">
        <v>28.65</v>
      </c>
      <c r="F59">
        <v>30.18</v>
      </c>
      <c r="G59">
        <v>28.64</v>
      </c>
      <c r="H59">
        <v>1.54</v>
      </c>
      <c r="I59">
        <v>5.3771</v>
      </c>
      <c r="J59">
        <v>2376911.81</v>
      </c>
      <c r="K59">
        <v>7018424.258</v>
      </c>
      <c r="L59" t="s">
        <v>103</v>
      </c>
      <c r="M59" t="s">
        <v>104</v>
      </c>
      <c r="N59" s="3">
        <v>45362</v>
      </c>
      <c r="O59">
        <v>58</v>
      </c>
      <c r="P59">
        <v>59</v>
      </c>
      <c r="Q59">
        <v>-1</v>
      </c>
      <c r="R59" t="s">
        <v>105</v>
      </c>
    </row>
    <row r="60" spans="1:18">
      <c r="A60" t="s">
        <v>14</v>
      </c>
      <c r="B60" s="3">
        <v>45362</v>
      </c>
      <c r="C60">
        <v>29.52</v>
      </c>
      <c r="D60">
        <v>30.07</v>
      </c>
      <c r="E60">
        <v>29.48</v>
      </c>
      <c r="F60">
        <v>30</v>
      </c>
      <c r="G60">
        <v>30.18</v>
      </c>
      <c r="H60">
        <v>-0.18</v>
      </c>
      <c r="I60">
        <v>-0.5964</v>
      </c>
      <c r="J60">
        <v>1877608.01</v>
      </c>
      <c r="K60">
        <v>5585970.498</v>
      </c>
      <c r="L60" t="s">
        <v>103</v>
      </c>
      <c r="M60" t="s">
        <v>104</v>
      </c>
      <c r="N60" s="3">
        <v>45362</v>
      </c>
      <c r="O60">
        <v>59</v>
      </c>
      <c r="P60">
        <v>59</v>
      </c>
      <c r="Q60">
        <v>0</v>
      </c>
      <c r="R60" t="s">
        <v>106</v>
      </c>
    </row>
    <row r="61" spans="1:18">
      <c r="A61" t="s">
        <v>14</v>
      </c>
      <c r="B61" s="3">
        <v>45363</v>
      </c>
      <c r="C61">
        <v>29.8</v>
      </c>
      <c r="D61">
        <v>29.93</v>
      </c>
      <c r="E61">
        <v>29.11</v>
      </c>
      <c r="F61">
        <v>29.22</v>
      </c>
      <c r="G61">
        <v>30</v>
      </c>
      <c r="H61">
        <v>-0.78</v>
      </c>
      <c r="I61">
        <v>-2.6</v>
      </c>
      <c r="J61">
        <v>1638834.28</v>
      </c>
      <c r="K61">
        <v>4819534.155</v>
      </c>
      <c r="L61" t="s">
        <v>103</v>
      </c>
      <c r="M61" t="s">
        <v>104</v>
      </c>
      <c r="N61" s="3">
        <v>45362</v>
      </c>
      <c r="O61">
        <v>60</v>
      </c>
      <c r="P61">
        <v>59</v>
      </c>
      <c r="Q61">
        <v>1</v>
      </c>
      <c r="R61" t="s">
        <v>107</v>
      </c>
    </row>
    <row r="62" spans="1:18">
      <c r="A62" t="s">
        <v>14</v>
      </c>
      <c r="B62" s="3">
        <v>45364</v>
      </c>
      <c r="C62">
        <v>29.59</v>
      </c>
      <c r="D62">
        <v>29.75</v>
      </c>
      <c r="E62">
        <v>29.1</v>
      </c>
      <c r="F62">
        <v>29.16</v>
      </c>
      <c r="G62">
        <v>29.22</v>
      </c>
      <c r="H62">
        <v>-0.06</v>
      </c>
      <c r="I62">
        <v>-0.2053</v>
      </c>
      <c r="J62">
        <v>1402233.71</v>
      </c>
      <c r="K62">
        <v>4124845.542</v>
      </c>
      <c r="L62" t="s">
        <v>103</v>
      </c>
      <c r="M62" t="s">
        <v>104</v>
      </c>
      <c r="N62" s="3">
        <v>45362</v>
      </c>
      <c r="O62">
        <v>61</v>
      </c>
      <c r="P62">
        <v>59</v>
      </c>
      <c r="Q62">
        <v>2</v>
      </c>
      <c r="R62" t="s">
        <v>107</v>
      </c>
    </row>
    <row r="63" spans="1:18">
      <c r="A63" t="s">
        <v>14</v>
      </c>
      <c r="B63" s="3">
        <v>45365</v>
      </c>
      <c r="C63">
        <v>28.75</v>
      </c>
      <c r="D63">
        <v>29.24</v>
      </c>
      <c r="E63">
        <v>28.3</v>
      </c>
      <c r="F63">
        <v>28.8</v>
      </c>
      <c r="G63">
        <v>29.16</v>
      </c>
      <c r="H63">
        <v>-0.36</v>
      </c>
      <c r="I63">
        <v>-1.2346</v>
      </c>
      <c r="J63">
        <v>1391115.77</v>
      </c>
      <c r="K63">
        <v>4000476.337</v>
      </c>
      <c r="L63" t="s">
        <v>103</v>
      </c>
      <c r="M63" t="s">
        <v>104</v>
      </c>
      <c r="N63" s="3">
        <v>45362</v>
      </c>
      <c r="O63">
        <v>62</v>
      </c>
      <c r="P63">
        <v>59</v>
      </c>
      <c r="Q63">
        <v>3</v>
      </c>
      <c r="R63" t="s">
        <v>107</v>
      </c>
    </row>
    <row r="64" spans="1:18">
      <c r="A64" t="s">
        <v>14</v>
      </c>
      <c r="B64" s="3">
        <v>45366</v>
      </c>
      <c r="C64">
        <v>28.65</v>
      </c>
      <c r="D64">
        <v>29.1</v>
      </c>
      <c r="E64">
        <v>28.22</v>
      </c>
      <c r="F64">
        <v>29</v>
      </c>
      <c r="G64">
        <v>28.8</v>
      </c>
      <c r="H64">
        <v>0.2</v>
      </c>
      <c r="I64">
        <v>0.6944</v>
      </c>
      <c r="J64">
        <v>1231825.34</v>
      </c>
      <c r="K64">
        <v>3531568.122</v>
      </c>
      <c r="L64" t="s">
        <v>103</v>
      </c>
      <c r="M64" t="s">
        <v>104</v>
      </c>
      <c r="N64" s="3">
        <v>45362</v>
      </c>
      <c r="O64">
        <v>63</v>
      </c>
      <c r="P64">
        <v>59</v>
      </c>
      <c r="Q64">
        <v>4</v>
      </c>
      <c r="R64" t="s">
        <v>107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20</v>
      </c>
    </row>
    <row r="3" spans="1:2">
      <c r="A3" s="5" t="s">
        <v>75</v>
      </c>
      <c r="B3" s="8" t="s">
        <v>21</v>
      </c>
    </row>
    <row r="4" spans="1:2">
      <c r="A4" s="5" t="s">
        <v>2</v>
      </c>
      <c r="B4" s="7">
        <v>45302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spans="1:2">
      <c r="A7" s="5" t="s">
        <v>1</v>
      </c>
      <c r="B7">
        <v>2</v>
      </c>
    </row>
    <row r="8" spans="1:2">
      <c r="A8" s="5" t="s">
        <v>80</v>
      </c>
      <c r="B8" t="s">
        <v>108</v>
      </c>
    </row>
    <row r="9" spans="1:2">
      <c r="A9" s="5" t="s">
        <v>5</v>
      </c>
      <c r="B9" t="s">
        <v>22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18</v>
      </c>
    </row>
    <row r="12" spans="1:2">
      <c r="A12" s="5" t="s">
        <v>3</v>
      </c>
      <c r="B12" s="3">
        <v>45302</v>
      </c>
    </row>
    <row r="13" spans="1:2">
      <c r="A13" s="5" t="s">
        <v>82</v>
      </c>
      <c r="B13" t="s">
        <v>109</v>
      </c>
    </row>
    <row r="14" spans="1:2">
      <c r="A14" s="5" t="s">
        <v>84</v>
      </c>
      <c r="B14" t="s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20</v>
      </c>
      <c r="B2" s="3">
        <v>45180</v>
      </c>
      <c r="C2">
        <v>7.77</v>
      </c>
      <c r="D2">
        <v>8.24</v>
      </c>
      <c r="E2">
        <v>7.76</v>
      </c>
      <c r="F2">
        <v>7.96</v>
      </c>
      <c r="G2">
        <v>7.8</v>
      </c>
      <c r="H2">
        <v>0.16</v>
      </c>
      <c r="I2">
        <v>2.0513</v>
      </c>
      <c r="J2">
        <v>264059.71</v>
      </c>
      <c r="K2">
        <v>210320.7</v>
      </c>
      <c r="L2" t="s">
        <v>103</v>
      </c>
      <c r="M2" t="s">
        <v>104</v>
      </c>
      <c r="N2" s="3">
        <v>45302</v>
      </c>
      <c r="O2">
        <v>1</v>
      </c>
      <c r="P2">
        <v>82</v>
      </c>
      <c r="Q2">
        <v>-81</v>
      </c>
      <c r="R2" t="s">
        <v>105</v>
      </c>
    </row>
    <row r="3" spans="1:19">
      <c r="A3" t="s">
        <v>20</v>
      </c>
      <c r="B3" s="3">
        <v>45181</v>
      </c>
      <c r="C3">
        <v>7.99</v>
      </c>
      <c r="D3">
        <v>8.08</v>
      </c>
      <c r="E3">
        <v>7.91</v>
      </c>
      <c r="F3">
        <v>7.94</v>
      </c>
      <c r="G3">
        <v>7.96</v>
      </c>
      <c r="H3">
        <v>-0.02</v>
      </c>
      <c r="I3">
        <v>-0.2513</v>
      </c>
      <c r="J3">
        <v>195644.57</v>
      </c>
      <c r="K3">
        <v>156247.693</v>
      </c>
      <c r="L3" t="s">
        <v>103</v>
      </c>
      <c r="M3" t="s">
        <v>104</v>
      </c>
      <c r="N3" s="3">
        <v>45302</v>
      </c>
      <c r="O3">
        <v>2</v>
      </c>
      <c r="P3">
        <v>82</v>
      </c>
      <c r="Q3">
        <v>-80</v>
      </c>
      <c r="R3" t="s">
        <v>105</v>
      </c>
    </row>
    <row r="4" spans="1:19">
      <c r="A4" t="s">
        <v>20</v>
      </c>
      <c r="B4" s="3">
        <v>45182</v>
      </c>
      <c r="C4">
        <v>7.82</v>
      </c>
      <c r="D4">
        <v>7.89</v>
      </c>
      <c r="E4">
        <v>7.62</v>
      </c>
      <c r="F4">
        <v>7.68</v>
      </c>
      <c r="G4">
        <v>7.94</v>
      </c>
      <c r="H4">
        <v>-0.26</v>
      </c>
      <c r="I4">
        <v>-3.2746</v>
      </c>
      <c r="J4">
        <v>148305</v>
      </c>
      <c r="K4">
        <v>114804.329</v>
      </c>
      <c r="L4" t="s">
        <v>103</v>
      </c>
      <c r="M4" t="s">
        <v>104</v>
      </c>
      <c r="N4" s="3">
        <v>45302</v>
      </c>
      <c r="O4">
        <v>3</v>
      </c>
      <c r="P4">
        <v>82</v>
      </c>
      <c r="Q4">
        <v>-79</v>
      </c>
      <c r="R4" t="s">
        <v>105</v>
      </c>
    </row>
    <row r="5" spans="1:19">
      <c r="A5" t="s">
        <v>20</v>
      </c>
      <c r="B5" s="3">
        <v>45183</v>
      </c>
      <c r="C5">
        <v>7.68</v>
      </c>
      <c r="D5">
        <v>7.96</v>
      </c>
      <c r="E5">
        <v>7.58</v>
      </c>
      <c r="F5">
        <v>7.67</v>
      </c>
      <c r="G5">
        <v>7.68</v>
      </c>
      <c r="H5">
        <v>-0.01</v>
      </c>
      <c r="I5">
        <v>-0.1302</v>
      </c>
      <c r="J5">
        <v>109829</v>
      </c>
      <c r="K5">
        <v>84695.467</v>
      </c>
      <c r="L5" t="s">
        <v>103</v>
      </c>
      <c r="M5" t="s">
        <v>104</v>
      </c>
      <c r="N5" s="3">
        <v>45302</v>
      </c>
      <c r="O5">
        <v>4</v>
      </c>
      <c r="P5">
        <v>82</v>
      </c>
      <c r="Q5">
        <v>-78</v>
      </c>
      <c r="R5" t="s">
        <v>105</v>
      </c>
    </row>
    <row r="6" spans="1:19">
      <c r="A6" t="s">
        <v>20</v>
      </c>
      <c r="B6" s="3">
        <v>45184</v>
      </c>
      <c r="C6">
        <v>7.73</v>
      </c>
      <c r="D6">
        <v>7.73</v>
      </c>
      <c r="E6">
        <v>7.56</v>
      </c>
      <c r="F6">
        <v>7.61</v>
      </c>
      <c r="G6">
        <v>7.67</v>
      </c>
      <c r="H6">
        <v>-0.06</v>
      </c>
      <c r="I6">
        <v>-0.7823</v>
      </c>
      <c r="J6">
        <v>78608.8</v>
      </c>
      <c r="K6">
        <v>59930.15</v>
      </c>
      <c r="L6" t="s">
        <v>103</v>
      </c>
      <c r="M6" t="s">
        <v>104</v>
      </c>
      <c r="N6" s="3">
        <v>45302</v>
      </c>
      <c r="O6">
        <v>5</v>
      </c>
      <c r="P6">
        <v>82</v>
      </c>
      <c r="Q6">
        <v>-77</v>
      </c>
      <c r="R6" t="s">
        <v>105</v>
      </c>
    </row>
    <row r="7" spans="1:19">
      <c r="A7" t="s">
        <v>20</v>
      </c>
      <c r="B7" s="3">
        <v>45187</v>
      </c>
      <c r="C7">
        <v>7.57</v>
      </c>
      <c r="D7">
        <v>7.65</v>
      </c>
      <c r="E7">
        <v>7.5</v>
      </c>
      <c r="F7">
        <v>7.58</v>
      </c>
      <c r="G7">
        <v>7.61</v>
      </c>
      <c r="H7">
        <v>-0.03</v>
      </c>
      <c r="I7">
        <v>-0.3942</v>
      </c>
      <c r="J7">
        <v>53255.48</v>
      </c>
      <c r="K7">
        <v>40353.522</v>
      </c>
      <c r="L7" t="s">
        <v>103</v>
      </c>
      <c r="M7" t="s">
        <v>104</v>
      </c>
      <c r="N7" s="3">
        <v>45302</v>
      </c>
      <c r="O7">
        <v>6</v>
      </c>
      <c r="P7">
        <v>82</v>
      </c>
      <c r="Q7">
        <v>-76</v>
      </c>
      <c r="R7" t="s">
        <v>105</v>
      </c>
    </row>
    <row r="8" spans="1:19">
      <c r="A8" t="s">
        <v>20</v>
      </c>
      <c r="B8" s="3">
        <v>45188</v>
      </c>
      <c r="C8">
        <v>7.6</v>
      </c>
      <c r="D8">
        <v>7.6</v>
      </c>
      <c r="E8">
        <v>7.35</v>
      </c>
      <c r="F8">
        <v>7.36</v>
      </c>
      <c r="G8">
        <v>7.58</v>
      </c>
      <c r="H8">
        <v>-0.22</v>
      </c>
      <c r="I8">
        <v>-2.9024</v>
      </c>
      <c r="J8">
        <v>84276.2</v>
      </c>
      <c r="K8">
        <v>62510.257</v>
      </c>
      <c r="L8" t="s">
        <v>103</v>
      </c>
      <c r="M8" t="s">
        <v>104</v>
      </c>
      <c r="N8" s="3">
        <v>45302</v>
      </c>
      <c r="O8">
        <v>7</v>
      </c>
      <c r="P8">
        <v>82</v>
      </c>
      <c r="Q8">
        <v>-75</v>
      </c>
      <c r="R8" t="s">
        <v>105</v>
      </c>
    </row>
    <row r="9" spans="1:19">
      <c r="A9" t="s">
        <v>20</v>
      </c>
      <c r="B9" s="3">
        <v>45189</v>
      </c>
      <c r="C9">
        <v>7.4</v>
      </c>
      <c r="D9">
        <v>7.58</v>
      </c>
      <c r="E9">
        <v>7.33</v>
      </c>
      <c r="F9">
        <v>7.41</v>
      </c>
      <c r="G9">
        <v>7.36</v>
      </c>
      <c r="H9">
        <v>0.05</v>
      </c>
      <c r="I9">
        <v>0.6793</v>
      </c>
      <c r="J9">
        <v>67820.81</v>
      </c>
      <c r="K9">
        <v>50331.45</v>
      </c>
      <c r="L9" t="s">
        <v>103</v>
      </c>
      <c r="M9" t="s">
        <v>104</v>
      </c>
      <c r="N9" s="3">
        <v>45302</v>
      </c>
      <c r="O9">
        <v>8</v>
      </c>
      <c r="P9">
        <v>82</v>
      </c>
      <c r="Q9">
        <v>-74</v>
      </c>
      <c r="R9" t="s">
        <v>105</v>
      </c>
    </row>
    <row r="10" spans="1:19">
      <c r="A10" t="s">
        <v>20</v>
      </c>
      <c r="B10" s="3">
        <v>45190</v>
      </c>
      <c r="C10">
        <v>7.44</v>
      </c>
      <c r="D10">
        <v>8</v>
      </c>
      <c r="E10">
        <v>7.4</v>
      </c>
      <c r="F10">
        <v>7.64</v>
      </c>
      <c r="G10">
        <v>7.41</v>
      </c>
      <c r="H10">
        <v>0.23</v>
      </c>
      <c r="I10">
        <v>3.1039</v>
      </c>
      <c r="J10">
        <v>253779.46</v>
      </c>
      <c r="K10">
        <v>197763.747</v>
      </c>
      <c r="L10" t="s">
        <v>103</v>
      </c>
      <c r="M10" t="s">
        <v>104</v>
      </c>
      <c r="N10" s="3">
        <v>45302</v>
      </c>
      <c r="O10">
        <v>9</v>
      </c>
      <c r="P10">
        <v>82</v>
      </c>
      <c r="Q10">
        <v>-73</v>
      </c>
      <c r="R10" t="s">
        <v>105</v>
      </c>
    </row>
    <row r="11" spans="1:19">
      <c r="A11" t="s">
        <v>20</v>
      </c>
      <c r="B11" s="3">
        <v>45191</v>
      </c>
      <c r="C11">
        <v>7.59</v>
      </c>
      <c r="D11">
        <v>7.72</v>
      </c>
      <c r="E11">
        <v>7.38</v>
      </c>
      <c r="F11">
        <v>7.69</v>
      </c>
      <c r="G11">
        <v>7.64</v>
      </c>
      <c r="H11">
        <v>0.05</v>
      </c>
      <c r="I11">
        <v>0.6545</v>
      </c>
      <c r="J11">
        <v>169673.6</v>
      </c>
      <c r="K11">
        <v>127941.793</v>
      </c>
      <c r="L11" t="s">
        <v>103</v>
      </c>
      <c r="M11" t="s">
        <v>104</v>
      </c>
      <c r="N11" s="3">
        <v>45302</v>
      </c>
      <c r="O11">
        <v>10</v>
      </c>
      <c r="P11">
        <v>82</v>
      </c>
      <c r="Q11">
        <v>-72</v>
      </c>
      <c r="R11" t="s">
        <v>105</v>
      </c>
    </row>
    <row r="12" spans="1:19">
      <c r="A12" t="s">
        <v>20</v>
      </c>
      <c r="B12" s="3">
        <v>45194</v>
      </c>
      <c r="C12">
        <v>7.7</v>
      </c>
      <c r="D12">
        <v>7.82</v>
      </c>
      <c r="E12">
        <v>7.56</v>
      </c>
      <c r="F12">
        <v>7.62</v>
      </c>
      <c r="G12">
        <v>7.69</v>
      </c>
      <c r="H12">
        <v>-0.07</v>
      </c>
      <c r="I12">
        <v>-0.9103</v>
      </c>
      <c r="J12">
        <v>100928.4</v>
      </c>
      <c r="K12">
        <v>77395.309</v>
      </c>
      <c r="L12" t="s">
        <v>103</v>
      </c>
      <c r="M12" t="s">
        <v>104</v>
      </c>
      <c r="N12" s="3">
        <v>45302</v>
      </c>
      <c r="O12">
        <v>11</v>
      </c>
      <c r="P12">
        <v>82</v>
      </c>
      <c r="Q12">
        <v>-71</v>
      </c>
      <c r="R12" t="s">
        <v>105</v>
      </c>
    </row>
    <row r="13" spans="1:19">
      <c r="A13" t="s">
        <v>20</v>
      </c>
      <c r="B13" s="3">
        <v>45195</v>
      </c>
      <c r="C13">
        <v>7.62</v>
      </c>
      <c r="D13">
        <v>7.62</v>
      </c>
      <c r="E13">
        <v>7.49</v>
      </c>
      <c r="F13">
        <v>7.49</v>
      </c>
      <c r="G13">
        <v>7.62</v>
      </c>
      <c r="H13">
        <v>-0.13</v>
      </c>
      <c r="I13">
        <v>-1.706</v>
      </c>
      <c r="J13">
        <v>66175.8</v>
      </c>
      <c r="K13">
        <v>49785.519</v>
      </c>
      <c r="L13" t="s">
        <v>103</v>
      </c>
      <c r="M13" t="s">
        <v>104</v>
      </c>
      <c r="N13" s="3">
        <v>45302</v>
      </c>
      <c r="O13">
        <v>12</v>
      </c>
      <c r="P13">
        <v>82</v>
      </c>
      <c r="Q13">
        <v>-70</v>
      </c>
      <c r="R13" t="s">
        <v>105</v>
      </c>
    </row>
    <row r="14" spans="1:19">
      <c r="A14" t="s">
        <v>20</v>
      </c>
      <c r="B14" s="3">
        <v>45196</v>
      </c>
      <c r="C14">
        <v>7.56</v>
      </c>
      <c r="D14">
        <v>7.64</v>
      </c>
      <c r="E14">
        <v>7.48</v>
      </c>
      <c r="F14">
        <v>7.5</v>
      </c>
      <c r="G14">
        <v>7.49</v>
      </c>
      <c r="H14">
        <v>0.01</v>
      </c>
      <c r="I14">
        <v>0.1335</v>
      </c>
      <c r="J14">
        <v>83096</v>
      </c>
      <c r="K14">
        <v>62693.767</v>
      </c>
      <c r="L14" t="s">
        <v>103</v>
      </c>
      <c r="M14" t="s">
        <v>104</v>
      </c>
      <c r="N14" s="3">
        <v>45302</v>
      </c>
      <c r="O14">
        <v>13</v>
      </c>
      <c r="P14">
        <v>82</v>
      </c>
      <c r="Q14">
        <v>-69</v>
      </c>
      <c r="R14" t="s">
        <v>105</v>
      </c>
    </row>
    <row r="15" spans="1:19">
      <c r="A15" t="s">
        <v>20</v>
      </c>
      <c r="B15" s="3">
        <v>45197</v>
      </c>
      <c r="C15">
        <v>7.6</v>
      </c>
      <c r="D15">
        <v>7.88</v>
      </c>
      <c r="E15">
        <v>7.59</v>
      </c>
      <c r="F15">
        <v>7.82</v>
      </c>
      <c r="G15">
        <v>7.5</v>
      </c>
      <c r="H15">
        <v>0.32</v>
      </c>
      <c r="I15">
        <v>4.2667</v>
      </c>
      <c r="J15">
        <v>224441.48</v>
      </c>
      <c r="K15">
        <v>175074.072</v>
      </c>
      <c r="L15" t="s">
        <v>103</v>
      </c>
      <c r="M15" t="s">
        <v>104</v>
      </c>
      <c r="N15" s="3">
        <v>45302</v>
      </c>
      <c r="O15">
        <v>14</v>
      </c>
      <c r="P15">
        <v>82</v>
      </c>
      <c r="Q15">
        <v>-68</v>
      </c>
      <c r="R15" t="s">
        <v>105</v>
      </c>
    </row>
    <row r="16" spans="1:19">
      <c r="A16" t="s">
        <v>20</v>
      </c>
      <c r="B16" s="3">
        <v>45208</v>
      </c>
      <c r="C16">
        <v>7.88</v>
      </c>
      <c r="D16">
        <v>7.88</v>
      </c>
      <c r="E16">
        <v>7.66</v>
      </c>
      <c r="F16">
        <v>7.74</v>
      </c>
      <c r="G16">
        <v>7.82</v>
      </c>
      <c r="H16">
        <v>-0.08</v>
      </c>
      <c r="I16">
        <v>-1.023</v>
      </c>
      <c r="J16">
        <v>121342.4</v>
      </c>
      <c r="K16">
        <v>93882.901</v>
      </c>
      <c r="L16" t="s">
        <v>103</v>
      </c>
      <c r="M16" t="s">
        <v>104</v>
      </c>
      <c r="N16" s="3">
        <v>45302</v>
      </c>
      <c r="O16">
        <v>15</v>
      </c>
      <c r="P16">
        <v>82</v>
      </c>
      <c r="Q16">
        <v>-67</v>
      </c>
      <c r="R16" t="s">
        <v>105</v>
      </c>
    </row>
    <row r="17" spans="1:18">
      <c r="A17" t="s">
        <v>20</v>
      </c>
      <c r="B17" s="3">
        <v>45209</v>
      </c>
      <c r="C17">
        <v>7.7</v>
      </c>
      <c r="D17">
        <v>7.79</v>
      </c>
      <c r="E17">
        <v>7.69</v>
      </c>
      <c r="F17">
        <v>7.75</v>
      </c>
      <c r="G17">
        <v>7.74</v>
      </c>
      <c r="H17">
        <v>0.01</v>
      </c>
      <c r="I17">
        <v>0.1292</v>
      </c>
      <c r="J17">
        <v>93080</v>
      </c>
      <c r="K17">
        <v>72106.908</v>
      </c>
      <c r="L17" t="s">
        <v>103</v>
      </c>
      <c r="M17" t="s">
        <v>104</v>
      </c>
      <c r="N17" s="3">
        <v>45302</v>
      </c>
      <c r="O17">
        <v>16</v>
      </c>
      <c r="P17">
        <v>82</v>
      </c>
      <c r="Q17">
        <v>-66</v>
      </c>
      <c r="R17" t="s">
        <v>105</v>
      </c>
    </row>
    <row r="18" spans="1:18">
      <c r="A18" t="s">
        <v>20</v>
      </c>
      <c r="B18" s="3">
        <v>45210</v>
      </c>
      <c r="C18">
        <v>7.81</v>
      </c>
      <c r="D18">
        <v>7.84</v>
      </c>
      <c r="E18">
        <v>7.72</v>
      </c>
      <c r="F18">
        <v>7.78</v>
      </c>
      <c r="G18">
        <v>7.75</v>
      </c>
      <c r="H18">
        <v>0.03</v>
      </c>
      <c r="I18">
        <v>0.3871</v>
      </c>
      <c r="J18">
        <v>94193.74</v>
      </c>
      <c r="K18">
        <v>73345.016</v>
      </c>
      <c r="L18" t="s">
        <v>103</v>
      </c>
      <c r="M18" t="s">
        <v>104</v>
      </c>
      <c r="N18" s="3">
        <v>45302</v>
      </c>
      <c r="O18">
        <v>17</v>
      </c>
      <c r="P18">
        <v>82</v>
      </c>
      <c r="Q18">
        <v>-65</v>
      </c>
      <c r="R18" t="s">
        <v>105</v>
      </c>
    </row>
    <row r="19" spans="1:18">
      <c r="A19" t="s">
        <v>20</v>
      </c>
      <c r="B19" s="3">
        <v>45211</v>
      </c>
      <c r="C19">
        <v>7.79</v>
      </c>
      <c r="D19">
        <v>7.82</v>
      </c>
      <c r="E19">
        <v>7.62</v>
      </c>
      <c r="F19">
        <v>7.73</v>
      </c>
      <c r="G19">
        <v>7.78</v>
      </c>
      <c r="H19">
        <v>-0.05</v>
      </c>
      <c r="I19">
        <v>-0.6427</v>
      </c>
      <c r="J19">
        <v>91268</v>
      </c>
      <c r="K19">
        <v>70380.787</v>
      </c>
      <c r="L19" t="s">
        <v>103</v>
      </c>
      <c r="M19" t="s">
        <v>104</v>
      </c>
      <c r="N19" s="3">
        <v>45302</v>
      </c>
      <c r="O19">
        <v>18</v>
      </c>
      <c r="P19">
        <v>82</v>
      </c>
      <c r="Q19">
        <v>-64</v>
      </c>
      <c r="R19" t="s">
        <v>105</v>
      </c>
    </row>
    <row r="20" spans="1:18">
      <c r="A20" t="s">
        <v>20</v>
      </c>
      <c r="B20" s="3">
        <v>45212</v>
      </c>
      <c r="C20">
        <v>7.71</v>
      </c>
      <c r="D20">
        <v>7.76</v>
      </c>
      <c r="E20">
        <v>7.67</v>
      </c>
      <c r="F20">
        <v>7.69</v>
      </c>
      <c r="G20">
        <v>7.73</v>
      </c>
      <c r="H20">
        <v>-0.04</v>
      </c>
      <c r="I20">
        <v>-0.5175</v>
      </c>
      <c r="J20">
        <v>64237</v>
      </c>
      <c r="K20">
        <v>49513.206</v>
      </c>
      <c r="L20" t="s">
        <v>103</v>
      </c>
      <c r="M20" t="s">
        <v>104</v>
      </c>
      <c r="N20" s="3">
        <v>45302</v>
      </c>
      <c r="O20">
        <v>19</v>
      </c>
      <c r="P20">
        <v>82</v>
      </c>
      <c r="Q20">
        <v>-63</v>
      </c>
      <c r="R20" t="s">
        <v>105</v>
      </c>
    </row>
    <row r="21" spans="1:18">
      <c r="A21" t="s">
        <v>20</v>
      </c>
      <c r="B21" s="3">
        <v>45215</v>
      </c>
      <c r="C21">
        <v>7.7</v>
      </c>
      <c r="D21">
        <v>7.72</v>
      </c>
      <c r="E21">
        <v>7.6</v>
      </c>
      <c r="F21">
        <v>7.65</v>
      </c>
      <c r="G21">
        <v>7.69</v>
      </c>
      <c r="H21">
        <v>-0.04</v>
      </c>
      <c r="I21">
        <v>-0.5202</v>
      </c>
      <c r="J21">
        <v>83025</v>
      </c>
      <c r="K21">
        <v>63572.927</v>
      </c>
      <c r="L21" t="s">
        <v>103</v>
      </c>
      <c r="M21" t="s">
        <v>104</v>
      </c>
      <c r="N21" s="3">
        <v>45302</v>
      </c>
      <c r="O21">
        <v>20</v>
      </c>
      <c r="P21">
        <v>82</v>
      </c>
      <c r="Q21">
        <v>-62</v>
      </c>
      <c r="R21" t="s">
        <v>105</v>
      </c>
    </row>
    <row r="22" spans="1:18">
      <c r="A22" t="s">
        <v>20</v>
      </c>
      <c r="B22" s="3">
        <v>45216</v>
      </c>
      <c r="C22">
        <v>7.64</v>
      </c>
      <c r="D22">
        <v>8.06</v>
      </c>
      <c r="E22">
        <v>7.53</v>
      </c>
      <c r="F22">
        <v>8.02</v>
      </c>
      <c r="G22">
        <v>7.65</v>
      </c>
      <c r="H22">
        <v>0.37</v>
      </c>
      <c r="I22">
        <v>4.8366</v>
      </c>
      <c r="J22">
        <v>297851.65</v>
      </c>
      <c r="K22">
        <v>234545.451</v>
      </c>
      <c r="L22" t="s">
        <v>103</v>
      </c>
      <c r="M22" t="s">
        <v>104</v>
      </c>
      <c r="N22" s="3">
        <v>45302</v>
      </c>
      <c r="O22">
        <v>21</v>
      </c>
      <c r="P22">
        <v>82</v>
      </c>
      <c r="Q22">
        <v>-61</v>
      </c>
      <c r="R22" t="s">
        <v>105</v>
      </c>
    </row>
    <row r="23" spans="1:18">
      <c r="A23" t="s">
        <v>20</v>
      </c>
      <c r="B23" s="3">
        <v>45217</v>
      </c>
      <c r="C23">
        <v>8.02</v>
      </c>
      <c r="D23">
        <v>8.52</v>
      </c>
      <c r="E23">
        <v>7.92</v>
      </c>
      <c r="F23">
        <v>8.25</v>
      </c>
      <c r="G23">
        <v>8.02</v>
      </c>
      <c r="H23">
        <v>0.23</v>
      </c>
      <c r="I23">
        <v>2.8678</v>
      </c>
      <c r="J23">
        <v>532073.08</v>
      </c>
      <c r="K23">
        <v>436960.969</v>
      </c>
      <c r="L23" t="s">
        <v>103</v>
      </c>
      <c r="M23" t="s">
        <v>104</v>
      </c>
      <c r="N23" s="3">
        <v>45302</v>
      </c>
      <c r="O23">
        <v>22</v>
      </c>
      <c r="P23">
        <v>82</v>
      </c>
      <c r="Q23">
        <v>-60</v>
      </c>
      <c r="R23" t="s">
        <v>105</v>
      </c>
    </row>
    <row r="24" spans="1:18">
      <c r="A24" t="s">
        <v>20</v>
      </c>
      <c r="B24" s="3">
        <v>45218</v>
      </c>
      <c r="C24">
        <v>8.22</v>
      </c>
      <c r="D24">
        <v>8.27</v>
      </c>
      <c r="E24">
        <v>7.97</v>
      </c>
      <c r="F24">
        <v>7.99</v>
      </c>
      <c r="G24">
        <v>8.25</v>
      </c>
      <c r="H24">
        <v>-0.26</v>
      </c>
      <c r="I24">
        <v>-3.1515</v>
      </c>
      <c r="J24">
        <v>280409.41</v>
      </c>
      <c r="K24">
        <v>226936.827</v>
      </c>
      <c r="L24" t="s">
        <v>103</v>
      </c>
      <c r="M24" t="s">
        <v>104</v>
      </c>
      <c r="N24" s="3">
        <v>45302</v>
      </c>
      <c r="O24">
        <v>23</v>
      </c>
      <c r="P24">
        <v>82</v>
      </c>
      <c r="Q24">
        <v>-59</v>
      </c>
      <c r="R24" t="s">
        <v>105</v>
      </c>
    </row>
    <row r="25" spans="1:18">
      <c r="A25" t="s">
        <v>20</v>
      </c>
      <c r="B25" s="3">
        <v>45219</v>
      </c>
      <c r="C25">
        <v>7.9</v>
      </c>
      <c r="D25">
        <v>7.98</v>
      </c>
      <c r="E25">
        <v>7.62</v>
      </c>
      <c r="F25">
        <v>7.65</v>
      </c>
      <c r="G25">
        <v>7.99</v>
      </c>
      <c r="H25">
        <v>-0.34</v>
      </c>
      <c r="I25">
        <v>-4.2553</v>
      </c>
      <c r="J25">
        <v>213125.73</v>
      </c>
      <c r="K25">
        <v>165202.728</v>
      </c>
      <c r="L25" t="s">
        <v>103</v>
      </c>
      <c r="M25" t="s">
        <v>104</v>
      </c>
      <c r="N25" s="3">
        <v>45302</v>
      </c>
      <c r="O25">
        <v>24</v>
      </c>
      <c r="P25">
        <v>82</v>
      </c>
      <c r="Q25">
        <v>-58</v>
      </c>
      <c r="R25" t="s">
        <v>105</v>
      </c>
    </row>
    <row r="26" spans="1:18">
      <c r="A26" t="s">
        <v>20</v>
      </c>
      <c r="B26" s="3">
        <v>45222</v>
      </c>
      <c r="C26">
        <v>7.6</v>
      </c>
      <c r="D26">
        <v>8.16</v>
      </c>
      <c r="E26">
        <v>7.46</v>
      </c>
      <c r="F26">
        <v>7.6</v>
      </c>
      <c r="G26">
        <v>7.65</v>
      </c>
      <c r="H26">
        <v>-0.05</v>
      </c>
      <c r="I26">
        <v>-0.6536</v>
      </c>
      <c r="J26">
        <v>231905.8</v>
      </c>
      <c r="K26">
        <v>180583.081</v>
      </c>
      <c r="L26" t="s">
        <v>103</v>
      </c>
      <c r="M26" t="s">
        <v>104</v>
      </c>
      <c r="N26" s="3">
        <v>45302</v>
      </c>
      <c r="O26">
        <v>25</v>
      </c>
      <c r="P26">
        <v>82</v>
      </c>
      <c r="Q26">
        <v>-57</v>
      </c>
      <c r="R26" t="s">
        <v>105</v>
      </c>
    </row>
    <row r="27" spans="1:18">
      <c r="A27" t="s">
        <v>20</v>
      </c>
      <c r="B27" s="3">
        <v>45223</v>
      </c>
      <c r="C27">
        <v>7.51</v>
      </c>
      <c r="D27">
        <v>7.83</v>
      </c>
      <c r="E27">
        <v>7.35</v>
      </c>
      <c r="F27">
        <v>7.72</v>
      </c>
      <c r="G27">
        <v>7.6</v>
      </c>
      <c r="H27">
        <v>0.12</v>
      </c>
      <c r="I27">
        <v>1.5789</v>
      </c>
      <c r="J27">
        <v>167456.4</v>
      </c>
      <c r="K27">
        <v>127406.688</v>
      </c>
      <c r="L27" t="s">
        <v>103</v>
      </c>
      <c r="M27" t="s">
        <v>104</v>
      </c>
      <c r="N27" s="3">
        <v>45302</v>
      </c>
      <c r="O27">
        <v>26</v>
      </c>
      <c r="P27">
        <v>82</v>
      </c>
      <c r="Q27">
        <v>-56</v>
      </c>
      <c r="R27" t="s">
        <v>105</v>
      </c>
    </row>
    <row r="28" spans="1:18">
      <c r="A28" t="s">
        <v>20</v>
      </c>
      <c r="B28" s="3">
        <v>45224</v>
      </c>
      <c r="C28">
        <v>7.78</v>
      </c>
      <c r="D28">
        <v>7.96</v>
      </c>
      <c r="E28">
        <v>7.75</v>
      </c>
      <c r="F28">
        <v>7.9</v>
      </c>
      <c r="G28">
        <v>7.72</v>
      </c>
      <c r="H28">
        <v>0.18</v>
      </c>
      <c r="I28">
        <v>2.3316</v>
      </c>
      <c r="J28">
        <v>181723.6</v>
      </c>
      <c r="K28">
        <v>143212.679</v>
      </c>
      <c r="L28" t="s">
        <v>103</v>
      </c>
      <c r="M28" t="s">
        <v>104</v>
      </c>
      <c r="N28" s="3">
        <v>45302</v>
      </c>
      <c r="O28">
        <v>27</v>
      </c>
      <c r="P28">
        <v>82</v>
      </c>
      <c r="Q28">
        <v>-55</v>
      </c>
      <c r="R28" t="s">
        <v>105</v>
      </c>
    </row>
    <row r="29" spans="1:18">
      <c r="A29" t="s">
        <v>20</v>
      </c>
      <c r="B29" s="3">
        <v>45225</v>
      </c>
      <c r="C29">
        <v>7.81</v>
      </c>
      <c r="D29">
        <v>7.82</v>
      </c>
      <c r="E29">
        <v>7.63</v>
      </c>
      <c r="F29">
        <v>7.75</v>
      </c>
      <c r="G29">
        <v>7.9</v>
      </c>
      <c r="H29">
        <v>-0.15</v>
      </c>
      <c r="I29">
        <v>-1.8987</v>
      </c>
      <c r="J29">
        <v>151165</v>
      </c>
      <c r="K29">
        <v>116889.318</v>
      </c>
      <c r="L29" t="s">
        <v>103</v>
      </c>
      <c r="M29" t="s">
        <v>104</v>
      </c>
      <c r="N29" s="3">
        <v>45302</v>
      </c>
      <c r="O29">
        <v>28</v>
      </c>
      <c r="P29">
        <v>82</v>
      </c>
      <c r="Q29">
        <v>-54</v>
      </c>
      <c r="R29" t="s">
        <v>105</v>
      </c>
    </row>
    <row r="30" spans="1:18">
      <c r="A30" t="s">
        <v>20</v>
      </c>
      <c r="B30" s="3">
        <v>45226</v>
      </c>
      <c r="C30">
        <v>7.74</v>
      </c>
      <c r="D30">
        <v>7.78</v>
      </c>
      <c r="E30">
        <v>7.52</v>
      </c>
      <c r="F30">
        <v>7.57</v>
      </c>
      <c r="G30">
        <v>7.75</v>
      </c>
      <c r="H30">
        <v>-0.18</v>
      </c>
      <c r="I30">
        <v>-2.3226</v>
      </c>
      <c r="J30">
        <v>176058.2</v>
      </c>
      <c r="K30">
        <v>133952.435</v>
      </c>
      <c r="L30" t="s">
        <v>103</v>
      </c>
      <c r="M30" t="s">
        <v>104</v>
      </c>
      <c r="N30" s="3">
        <v>45302</v>
      </c>
      <c r="O30">
        <v>29</v>
      </c>
      <c r="P30">
        <v>82</v>
      </c>
      <c r="Q30">
        <v>-53</v>
      </c>
      <c r="R30" t="s">
        <v>105</v>
      </c>
    </row>
    <row r="31" spans="1:18">
      <c r="A31" t="s">
        <v>20</v>
      </c>
      <c r="B31" s="3">
        <v>45229</v>
      </c>
      <c r="C31">
        <v>7.5</v>
      </c>
      <c r="D31">
        <v>7.93</v>
      </c>
      <c r="E31">
        <v>7.47</v>
      </c>
      <c r="F31">
        <v>7.92</v>
      </c>
      <c r="G31">
        <v>7.57</v>
      </c>
      <c r="H31">
        <v>0.35</v>
      </c>
      <c r="I31">
        <v>4.6235</v>
      </c>
      <c r="J31">
        <v>226590.49</v>
      </c>
      <c r="K31">
        <v>176891.059</v>
      </c>
      <c r="L31" t="s">
        <v>103</v>
      </c>
      <c r="M31" t="s">
        <v>104</v>
      </c>
      <c r="N31" s="3">
        <v>45302</v>
      </c>
      <c r="O31">
        <v>30</v>
      </c>
      <c r="P31">
        <v>82</v>
      </c>
      <c r="Q31">
        <v>-52</v>
      </c>
      <c r="R31" t="s">
        <v>105</v>
      </c>
    </row>
    <row r="32" spans="1:18">
      <c r="A32" t="s">
        <v>20</v>
      </c>
      <c r="B32" s="3">
        <v>45230</v>
      </c>
      <c r="C32">
        <v>7.89</v>
      </c>
      <c r="D32">
        <v>7.99</v>
      </c>
      <c r="E32">
        <v>7.76</v>
      </c>
      <c r="F32">
        <v>7.82</v>
      </c>
      <c r="G32">
        <v>7.92</v>
      </c>
      <c r="H32">
        <v>-0.1</v>
      </c>
      <c r="I32">
        <v>-1.2626</v>
      </c>
      <c r="J32">
        <v>133192</v>
      </c>
      <c r="K32">
        <v>104832.622</v>
      </c>
      <c r="L32" t="s">
        <v>103</v>
      </c>
      <c r="M32" t="s">
        <v>104</v>
      </c>
      <c r="N32" s="3">
        <v>45302</v>
      </c>
      <c r="O32">
        <v>31</v>
      </c>
      <c r="P32">
        <v>82</v>
      </c>
      <c r="Q32">
        <v>-51</v>
      </c>
      <c r="R32" t="s">
        <v>105</v>
      </c>
    </row>
    <row r="33" spans="1:18">
      <c r="A33" t="s">
        <v>20</v>
      </c>
      <c r="B33" s="3">
        <v>45231</v>
      </c>
      <c r="C33">
        <v>7.86</v>
      </c>
      <c r="D33">
        <v>7.89</v>
      </c>
      <c r="E33">
        <v>7.78</v>
      </c>
      <c r="F33">
        <v>7.83</v>
      </c>
      <c r="G33">
        <v>7.82</v>
      </c>
      <c r="H33">
        <v>0.01</v>
      </c>
      <c r="I33">
        <v>0.1279</v>
      </c>
      <c r="J33">
        <v>74385.54</v>
      </c>
      <c r="K33">
        <v>58234.263</v>
      </c>
      <c r="L33" t="s">
        <v>103</v>
      </c>
      <c r="M33" t="s">
        <v>104</v>
      </c>
      <c r="N33" s="3">
        <v>45302</v>
      </c>
      <c r="O33">
        <v>32</v>
      </c>
      <c r="P33">
        <v>82</v>
      </c>
      <c r="Q33">
        <v>-50</v>
      </c>
      <c r="R33" t="s">
        <v>105</v>
      </c>
    </row>
    <row r="34" spans="1:18">
      <c r="A34" t="s">
        <v>20</v>
      </c>
      <c r="B34" s="3">
        <v>45232</v>
      </c>
      <c r="C34">
        <v>7.8</v>
      </c>
      <c r="D34">
        <v>7.88</v>
      </c>
      <c r="E34">
        <v>7.72</v>
      </c>
      <c r="F34">
        <v>7.72</v>
      </c>
      <c r="G34">
        <v>7.83</v>
      </c>
      <c r="H34">
        <v>-0.11</v>
      </c>
      <c r="I34">
        <v>-1.4049</v>
      </c>
      <c r="J34">
        <v>80908.39</v>
      </c>
      <c r="K34">
        <v>63018.655</v>
      </c>
      <c r="L34" t="s">
        <v>103</v>
      </c>
      <c r="M34" t="s">
        <v>104</v>
      </c>
      <c r="N34" s="3">
        <v>45302</v>
      </c>
      <c r="O34">
        <v>33</v>
      </c>
      <c r="P34">
        <v>82</v>
      </c>
      <c r="Q34">
        <v>-49</v>
      </c>
      <c r="R34" t="s">
        <v>105</v>
      </c>
    </row>
    <row r="35" spans="1:18">
      <c r="A35" t="s">
        <v>20</v>
      </c>
      <c r="B35" s="3">
        <v>45233</v>
      </c>
      <c r="C35">
        <v>7.74</v>
      </c>
      <c r="D35">
        <v>8.01</v>
      </c>
      <c r="E35">
        <v>7.74</v>
      </c>
      <c r="F35">
        <v>7.99</v>
      </c>
      <c r="G35">
        <v>7.72</v>
      </c>
      <c r="H35">
        <v>0.27</v>
      </c>
      <c r="I35">
        <v>3.4974</v>
      </c>
      <c r="J35">
        <v>175510.48</v>
      </c>
      <c r="K35">
        <v>139490.789</v>
      </c>
      <c r="L35" t="s">
        <v>103</v>
      </c>
      <c r="M35" t="s">
        <v>104</v>
      </c>
      <c r="N35" s="3">
        <v>45302</v>
      </c>
      <c r="O35">
        <v>34</v>
      </c>
      <c r="P35">
        <v>82</v>
      </c>
      <c r="Q35">
        <v>-48</v>
      </c>
      <c r="R35" t="s">
        <v>105</v>
      </c>
    </row>
    <row r="36" spans="1:18">
      <c r="A36" t="s">
        <v>20</v>
      </c>
      <c r="B36" s="3">
        <v>45236</v>
      </c>
      <c r="C36">
        <v>8.02</v>
      </c>
      <c r="D36">
        <v>8.55</v>
      </c>
      <c r="E36">
        <v>8.01</v>
      </c>
      <c r="F36">
        <v>8.49</v>
      </c>
      <c r="G36">
        <v>7.99</v>
      </c>
      <c r="H36">
        <v>0.5</v>
      </c>
      <c r="I36">
        <v>6.2578</v>
      </c>
      <c r="J36">
        <v>416188.75</v>
      </c>
      <c r="K36">
        <v>347523.359</v>
      </c>
      <c r="L36" t="s">
        <v>103</v>
      </c>
      <c r="M36" t="s">
        <v>104</v>
      </c>
      <c r="N36" s="3">
        <v>45302</v>
      </c>
      <c r="O36">
        <v>35</v>
      </c>
      <c r="P36">
        <v>82</v>
      </c>
      <c r="Q36">
        <v>-47</v>
      </c>
      <c r="R36" t="s">
        <v>105</v>
      </c>
    </row>
    <row r="37" spans="1:18">
      <c r="A37" t="s">
        <v>20</v>
      </c>
      <c r="B37" s="3">
        <v>45237</v>
      </c>
      <c r="C37">
        <v>8.8</v>
      </c>
      <c r="D37">
        <v>9.11</v>
      </c>
      <c r="E37">
        <v>8.6</v>
      </c>
      <c r="F37">
        <v>9.04</v>
      </c>
      <c r="G37">
        <v>8.49</v>
      </c>
      <c r="H37">
        <v>0.55</v>
      </c>
      <c r="I37">
        <v>6.4782</v>
      </c>
      <c r="J37">
        <v>784143.44</v>
      </c>
      <c r="K37">
        <v>696424.311</v>
      </c>
      <c r="L37" t="s">
        <v>103</v>
      </c>
      <c r="M37" t="s">
        <v>104</v>
      </c>
      <c r="N37" s="3">
        <v>45302</v>
      </c>
      <c r="O37">
        <v>36</v>
      </c>
      <c r="P37">
        <v>82</v>
      </c>
      <c r="Q37">
        <v>-46</v>
      </c>
      <c r="R37" t="s">
        <v>105</v>
      </c>
    </row>
    <row r="38" spans="1:18">
      <c r="A38" t="s">
        <v>20</v>
      </c>
      <c r="B38" s="3">
        <v>45238</v>
      </c>
      <c r="C38">
        <v>9.49</v>
      </c>
      <c r="D38">
        <v>9.94</v>
      </c>
      <c r="E38">
        <v>9.2</v>
      </c>
      <c r="F38">
        <v>9.94</v>
      </c>
      <c r="G38">
        <v>9.04</v>
      </c>
      <c r="H38">
        <v>0.9</v>
      </c>
      <c r="I38">
        <v>9.9558</v>
      </c>
      <c r="J38">
        <v>918115.25</v>
      </c>
      <c r="K38">
        <v>883453.619</v>
      </c>
      <c r="L38" t="s">
        <v>103</v>
      </c>
      <c r="M38" t="s">
        <v>104</v>
      </c>
      <c r="N38" s="3">
        <v>45302</v>
      </c>
      <c r="O38">
        <v>37</v>
      </c>
      <c r="P38">
        <v>82</v>
      </c>
      <c r="Q38">
        <v>-45</v>
      </c>
      <c r="R38" t="s">
        <v>105</v>
      </c>
    </row>
    <row r="39" spans="1:18">
      <c r="A39" t="s">
        <v>20</v>
      </c>
      <c r="B39" s="3">
        <v>45239</v>
      </c>
      <c r="C39">
        <v>10.72</v>
      </c>
      <c r="D39">
        <v>10.74</v>
      </c>
      <c r="E39">
        <v>9.15</v>
      </c>
      <c r="F39">
        <v>9.32</v>
      </c>
      <c r="G39">
        <v>9.94</v>
      </c>
      <c r="H39">
        <v>-0.62</v>
      </c>
      <c r="I39">
        <v>-6.2374</v>
      </c>
      <c r="J39">
        <v>1752701.78</v>
      </c>
      <c r="K39">
        <v>1752605.641</v>
      </c>
      <c r="L39" t="s">
        <v>103</v>
      </c>
      <c r="M39" t="s">
        <v>104</v>
      </c>
      <c r="N39" s="3">
        <v>45302</v>
      </c>
      <c r="O39">
        <v>38</v>
      </c>
      <c r="P39">
        <v>82</v>
      </c>
      <c r="Q39">
        <v>-44</v>
      </c>
      <c r="R39" t="s">
        <v>105</v>
      </c>
    </row>
    <row r="40" spans="1:18">
      <c r="A40" t="s">
        <v>20</v>
      </c>
      <c r="B40" s="3">
        <v>45240</v>
      </c>
      <c r="C40">
        <v>9.32</v>
      </c>
      <c r="D40">
        <v>9.86</v>
      </c>
      <c r="E40">
        <v>9.08</v>
      </c>
      <c r="F40">
        <v>9.62</v>
      </c>
      <c r="G40">
        <v>9.32</v>
      </c>
      <c r="H40">
        <v>0.3</v>
      </c>
      <c r="I40">
        <v>3.2189</v>
      </c>
      <c r="J40">
        <v>1039117.64</v>
      </c>
      <c r="K40">
        <v>984768.891</v>
      </c>
      <c r="L40" t="s">
        <v>103</v>
      </c>
      <c r="M40" t="s">
        <v>104</v>
      </c>
      <c r="N40" s="3">
        <v>45302</v>
      </c>
      <c r="O40">
        <v>39</v>
      </c>
      <c r="P40">
        <v>82</v>
      </c>
      <c r="Q40">
        <v>-43</v>
      </c>
      <c r="R40" t="s">
        <v>105</v>
      </c>
    </row>
    <row r="41" spans="1:18">
      <c r="A41" t="s">
        <v>20</v>
      </c>
      <c r="B41" s="3">
        <v>45243</v>
      </c>
      <c r="C41">
        <v>9.62</v>
      </c>
      <c r="D41">
        <v>9.62</v>
      </c>
      <c r="E41">
        <v>9.08</v>
      </c>
      <c r="F41">
        <v>9.35</v>
      </c>
      <c r="G41">
        <v>9.62</v>
      </c>
      <c r="H41">
        <v>-0.27</v>
      </c>
      <c r="I41">
        <v>-2.8067</v>
      </c>
      <c r="J41">
        <v>796068.15</v>
      </c>
      <c r="K41">
        <v>742617.364</v>
      </c>
      <c r="L41" t="s">
        <v>103</v>
      </c>
      <c r="M41" t="s">
        <v>104</v>
      </c>
      <c r="N41" s="3">
        <v>45302</v>
      </c>
      <c r="O41">
        <v>40</v>
      </c>
      <c r="P41">
        <v>82</v>
      </c>
      <c r="Q41">
        <v>-42</v>
      </c>
      <c r="R41" t="s">
        <v>105</v>
      </c>
    </row>
    <row r="42" spans="1:18">
      <c r="A42" t="s">
        <v>20</v>
      </c>
      <c r="B42" s="3">
        <v>45244</v>
      </c>
      <c r="C42">
        <v>9.65</v>
      </c>
      <c r="D42">
        <v>10.29</v>
      </c>
      <c r="E42">
        <v>9.54</v>
      </c>
      <c r="F42">
        <v>9.83</v>
      </c>
      <c r="G42">
        <v>9.35</v>
      </c>
      <c r="H42">
        <v>0.48</v>
      </c>
      <c r="I42">
        <v>5.1337</v>
      </c>
      <c r="J42">
        <v>1055998.5</v>
      </c>
      <c r="K42">
        <v>1041941.251</v>
      </c>
      <c r="L42" t="s">
        <v>103</v>
      </c>
      <c r="M42" t="s">
        <v>104</v>
      </c>
      <c r="N42" s="3">
        <v>45302</v>
      </c>
      <c r="O42">
        <v>41</v>
      </c>
      <c r="P42">
        <v>82</v>
      </c>
      <c r="Q42">
        <v>-41</v>
      </c>
      <c r="R42" t="s">
        <v>105</v>
      </c>
    </row>
    <row r="43" spans="1:18">
      <c r="A43" t="s">
        <v>20</v>
      </c>
      <c r="B43" s="3">
        <v>45245</v>
      </c>
      <c r="C43">
        <v>9.94</v>
      </c>
      <c r="D43">
        <v>10.13</v>
      </c>
      <c r="E43">
        <v>9.34</v>
      </c>
      <c r="F43">
        <v>9.53</v>
      </c>
      <c r="G43">
        <v>9.83</v>
      </c>
      <c r="H43">
        <v>-0.3</v>
      </c>
      <c r="I43">
        <v>-3.0519</v>
      </c>
      <c r="J43">
        <v>980754.57</v>
      </c>
      <c r="K43">
        <v>939115.97</v>
      </c>
      <c r="L43" t="s">
        <v>103</v>
      </c>
      <c r="M43" t="s">
        <v>104</v>
      </c>
      <c r="N43" s="3">
        <v>45302</v>
      </c>
      <c r="O43">
        <v>42</v>
      </c>
      <c r="P43">
        <v>82</v>
      </c>
      <c r="Q43">
        <v>-40</v>
      </c>
      <c r="R43" t="s">
        <v>105</v>
      </c>
    </row>
    <row r="44" spans="1:18">
      <c r="A44" t="s">
        <v>20</v>
      </c>
      <c r="B44" s="3">
        <v>45246</v>
      </c>
      <c r="C44">
        <v>9.25</v>
      </c>
      <c r="D44">
        <v>10.48</v>
      </c>
      <c r="E44">
        <v>9.24</v>
      </c>
      <c r="F44">
        <v>10.48</v>
      </c>
      <c r="G44">
        <v>9.53</v>
      </c>
      <c r="H44">
        <v>0.95</v>
      </c>
      <c r="I44">
        <v>9.9685</v>
      </c>
      <c r="J44">
        <v>1401161.68</v>
      </c>
      <c r="K44">
        <v>1433084.157</v>
      </c>
      <c r="L44" t="s">
        <v>103</v>
      </c>
      <c r="M44" t="s">
        <v>104</v>
      </c>
      <c r="N44" s="3">
        <v>45302</v>
      </c>
      <c r="O44">
        <v>43</v>
      </c>
      <c r="P44">
        <v>82</v>
      </c>
      <c r="Q44">
        <v>-39</v>
      </c>
      <c r="R44" t="s">
        <v>105</v>
      </c>
    </row>
    <row r="45" spans="1:18">
      <c r="A45" t="s">
        <v>20</v>
      </c>
      <c r="B45" s="3">
        <v>45247</v>
      </c>
      <c r="C45">
        <v>10</v>
      </c>
      <c r="D45">
        <v>10.21</v>
      </c>
      <c r="E45">
        <v>9.85</v>
      </c>
      <c r="F45">
        <v>10.02</v>
      </c>
      <c r="G45">
        <v>10.48</v>
      </c>
      <c r="H45">
        <v>-0.46</v>
      </c>
      <c r="I45">
        <v>-4.3893</v>
      </c>
      <c r="J45">
        <v>1196806.32</v>
      </c>
      <c r="K45">
        <v>1196925.462</v>
      </c>
      <c r="L45" t="s">
        <v>103</v>
      </c>
      <c r="M45" t="s">
        <v>104</v>
      </c>
      <c r="N45" s="3">
        <v>45302</v>
      </c>
      <c r="O45">
        <v>44</v>
      </c>
      <c r="P45">
        <v>82</v>
      </c>
      <c r="Q45">
        <v>-38</v>
      </c>
      <c r="R45" t="s">
        <v>105</v>
      </c>
    </row>
    <row r="46" spans="1:18">
      <c r="A46" t="s">
        <v>20</v>
      </c>
      <c r="B46" s="3">
        <v>45250</v>
      </c>
      <c r="C46">
        <v>9.88</v>
      </c>
      <c r="D46">
        <v>10.09</v>
      </c>
      <c r="E46">
        <v>9.68</v>
      </c>
      <c r="F46">
        <v>10.05</v>
      </c>
      <c r="G46">
        <v>10.02</v>
      </c>
      <c r="H46">
        <v>0.03</v>
      </c>
      <c r="I46">
        <v>0.2994</v>
      </c>
      <c r="J46">
        <v>665402.96</v>
      </c>
      <c r="K46">
        <v>658822.666</v>
      </c>
      <c r="L46" t="s">
        <v>103</v>
      </c>
      <c r="M46" t="s">
        <v>104</v>
      </c>
      <c r="N46" s="3">
        <v>45302</v>
      </c>
      <c r="O46">
        <v>45</v>
      </c>
      <c r="P46">
        <v>82</v>
      </c>
      <c r="Q46">
        <v>-37</v>
      </c>
      <c r="R46" t="s">
        <v>105</v>
      </c>
    </row>
    <row r="47" spans="1:18">
      <c r="A47" t="s">
        <v>20</v>
      </c>
      <c r="B47" s="3">
        <v>45251</v>
      </c>
      <c r="C47">
        <v>9.99</v>
      </c>
      <c r="D47">
        <v>10.18</v>
      </c>
      <c r="E47">
        <v>9.5</v>
      </c>
      <c r="F47">
        <v>9.57</v>
      </c>
      <c r="G47">
        <v>10.05</v>
      </c>
      <c r="H47">
        <v>-0.48</v>
      </c>
      <c r="I47">
        <v>-4.7761</v>
      </c>
      <c r="J47">
        <v>697025.07</v>
      </c>
      <c r="K47">
        <v>677514.849</v>
      </c>
      <c r="L47" t="s">
        <v>103</v>
      </c>
      <c r="M47" t="s">
        <v>104</v>
      </c>
      <c r="N47" s="3">
        <v>45302</v>
      </c>
      <c r="O47">
        <v>46</v>
      </c>
      <c r="P47">
        <v>82</v>
      </c>
      <c r="Q47">
        <v>-36</v>
      </c>
      <c r="R47" t="s">
        <v>105</v>
      </c>
    </row>
    <row r="48" spans="1:18">
      <c r="A48" t="s">
        <v>20</v>
      </c>
      <c r="B48" s="3">
        <v>45252</v>
      </c>
      <c r="C48">
        <v>9.47</v>
      </c>
      <c r="D48">
        <v>10.53</v>
      </c>
      <c r="E48">
        <v>9.46</v>
      </c>
      <c r="F48">
        <v>10.53</v>
      </c>
      <c r="G48">
        <v>9.57</v>
      </c>
      <c r="H48">
        <v>0.96</v>
      </c>
      <c r="I48">
        <v>10.0313</v>
      </c>
      <c r="J48">
        <v>927378.77</v>
      </c>
      <c r="K48">
        <v>956572.574</v>
      </c>
      <c r="L48" t="s">
        <v>103</v>
      </c>
      <c r="M48" t="s">
        <v>104</v>
      </c>
      <c r="N48" s="3">
        <v>45302</v>
      </c>
      <c r="O48">
        <v>47</v>
      </c>
      <c r="P48">
        <v>82</v>
      </c>
      <c r="Q48">
        <v>-35</v>
      </c>
      <c r="R48" t="s">
        <v>105</v>
      </c>
    </row>
    <row r="49" spans="1:18">
      <c r="A49" t="s">
        <v>20</v>
      </c>
      <c r="B49" s="3">
        <v>45253</v>
      </c>
      <c r="C49">
        <v>10.8</v>
      </c>
      <c r="D49">
        <v>11.58</v>
      </c>
      <c r="E49">
        <v>10.6</v>
      </c>
      <c r="F49">
        <v>10.61</v>
      </c>
      <c r="G49">
        <v>10.53</v>
      </c>
      <c r="H49">
        <v>0.08</v>
      </c>
      <c r="I49">
        <v>0.7597</v>
      </c>
      <c r="J49">
        <v>2011136.18</v>
      </c>
      <c r="K49">
        <v>2242279.636</v>
      </c>
      <c r="L49" t="s">
        <v>103</v>
      </c>
      <c r="M49" t="s">
        <v>104</v>
      </c>
      <c r="N49" s="3">
        <v>45302</v>
      </c>
      <c r="O49">
        <v>48</v>
      </c>
      <c r="P49">
        <v>82</v>
      </c>
      <c r="Q49">
        <v>-34</v>
      </c>
      <c r="R49" t="s">
        <v>105</v>
      </c>
    </row>
    <row r="50" spans="1:18">
      <c r="A50" t="s">
        <v>20</v>
      </c>
      <c r="B50" s="3">
        <v>45254</v>
      </c>
      <c r="C50">
        <v>10.08</v>
      </c>
      <c r="D50">
        <v>10.38</v>
      </c>
      <c r="E50">
        <v>9.55</v>
      </c>
      <c r="F50">
        <v>9.55</v>
      </c>
      <c r="G50">
        <v>10.61</v>
      </c>
      <c r="H50">
        <v>-1.06</v>
      </c>
      <c r="I50">
        <v>-9.9906</v>
      </c>
      <c r="J50">
        <v>1298826.45</v>
      </c>
      <c r="K50">
        <v>1286853.846</v>
      </c>
      <c r="L50" t="s">
        <v>103</v>
      </c>
      <c r="M50" t="s">
        <v>104</v>
      </c>
      <c r="N50" s="3">
        <v>45302</v>
      </c>
      <c r="O50">
        <v>49</v>
      </c>
      <c r="P50">
        <v>82</v>
      </c>
      <c r="Q50">
        <v>-33</v>
      </c>
      <c r="R50" t="s">
        <v>105</v>
      </c>
    </row>
    <row r="51" spans="1:18">
      <c r="A51" t="s">
        <v>20</v>
      </c>
      <c r="B51" s="3">
        <v>45257</v>
      </c>
      <c r="C51">
        <v>9.69</v>
      </c>
      <c r="D51">
        <v>9.94</v>
      </c>
      <c r="E51">
        <v>9.39</v>
      </c>
      <c r="F51">
        <v>9.69</v>
      </c>
      <c r="G51">
        <v>9.55</v>
      </c>
      <c r="H51">
        <v>0.14</v>
      </c>
      <c r="I51">
        <v>1.466</v>
      </c>
      <c r="J51">
        <v>735460.17</v>
      </c>
      <c r="K51">
        <v>712633.771</v>
      </c>
      <c r="L51" t="s">
        <v>103</v>
      </c>
      <c r="M51" t="s">
        <v>104</v>
      </c>
      <c r="N51" s="3">
        <v>45302</v>
      </c>
      <c r="O51">
        <v>50</v>
      </c>
      <c r="P51">
        <v>82</v>
      </c>
      <c r="Q51">
        <v>-32</v>
      </c>
      <c r="R51" t="s">
        <v>105</v>
      </c>
    </row>
    <row r="52" spans="1:18">
      <c r="A52" t="s">
        <v>20</v>
      </c>
      <c r="B52" s="3">
        <v>45258</v>
      </c>
      <c r="C52">
        <v>9.55</v>
      </c>
      <c r="D52">
        <v>9.88</v>
      </c>
      <c r="E52">
        <v>9.45</v>
      </c>
      <c r="F52">
        <v>9.71</v>
      </c>
      <c r="G52">
        <v>9.69</v>
      </c>
      <c r="H52">
        <v>0.02</v>
      </c>
      <c r="I52">
        <v>0.2064</v>
      </c>
      <c r="J52">
        <v>522733.12</v>
      </c>
      <c r="K52">
        <v>502814.034</v>
      </c>
      <c r="L52" t="s">
        <v>103</v>
      </c>
      <c r="M52" t="s">
        <v>104</v>
      </c>
      <c r="N52" s="3">
        <v>45302</v>
      </c>
      <c r="O52">
        <v>51</v>
      </c>
      <c r="P52">
        <v>82</v>
      </c>
      <c r="Q52">
        <v>-31</v>
      </c>
      <c r="R52" t="s">
        <v>105</v>
      </c>
    </row>
    <row r="53" spans="1:18">
      <c r="A53" t="s">
        <v>20</v>
      </c>
      <c r="B53" s="3">
        <v>45259</v>
      </c>
      <c r="C53">
        <v>9.58</v>
      </c>
      <c r="D53">
        <v>9.66</v>
      </c>
      <c r="E53">
        <v>9.11</v>
      </c>
      <c r="F53">
        <v>9.43</v>
      </c>
      <c r="G53">
        <v>9.71</v>
      </c>
      <c r="H53">
        <v>-0.28</v>
      </c>
      <c r="I53">
        <v>-2.8836</v>
      </c>
      <c r="J53">
        <v>547564.31</v>
      </c>
      <c r="K53">
        <v>516577.935</v>
      </c>
      <c r="L53" t="s">
        <v>103</v>
      </c>
      <c r="M53" t="s">
        <v>104</v>
      </c>
      <c r="N53" s="3">
        <v>45302</v>
      </c>
      <c r="O53">
        <v>52</v>
      </c>
      <c r="P53">
        <v>82</v>
      </c>
      <c r="Q53">
        <v>-30</v>
      </c>
      <c r="R53" t="s">
        <v>105</v>
      </c>
    </row>
    <row r="54" spans="1:18">
      <c r="A54" t="s">
        <v>20</v>
      </c>
      <c r="B54" s="3">
        <v>45260</v>
      </c>
      <c r="C54">
        <v>9.38</v>
      </c>
      <c r="D54">
        <v>9.5</v>
      </c>
      <c r="E54">
        <v>8.98</v>
      </c>
      <c r="F54">
        <v>9.23</v>
      </c>
      <c r="G54">
        <v>9.43</v>
      </c>
      <c r="H54">
        <v>-0.2</v>
      </c>
      <c r="I54">
        <v>-2.1209</v>
      </c>
      <c r="J54">
        <v>553228.09</v>
      </c>
      <c r="K54">
        <v>508880.686</v>
      </c>
      <c r="L54" t="s">
        <v>103</v>
      </c>
      <c r="M54" t="s">
        <v>104</v>
      </c>
      <c r="N54" s="3">
        <v>45302</v>
      </c>
      <c r="O54">
        <v>53</v>
      </c>
      <c r="P54">
        <v>82</v>
      </c>
      <c r="Q54">
        <v>-29</v>
      </c>
      <c r="R54" t="s">
        <v>105</v>
      </c>
    </row>
    <row r="55" spans="1:18">
      <c r="A55" t="s">
        <v>20</v>
      </c>
      <c r="B55" s="3">
        <v>45261</v>
      </c>
      <c r="C55">
        <v>9.28</v>
      </c>
      <c r="D55">
        <v>9.64</v>
      </c>
      <c r="E55">
        <v>9.17</v>
      </c>
      <c r="F55">
        <v>9.58</v>
      </c>
      <c r="G55">
        <v>9.23</v>
      </c>
      <c r="H55">
        <v>0.35</v>
      </c>
      <c r="I55">
        <v>3.792</v>
      </c>
      <c r="J55">
        <v>511575.36</v>
      </c>
      <c r="K55">
        <v>485808.818</v>
      </c>
      <c r="L55" t="s">
        <v>103</v>
      </c>
      <c r="M55" t="s">
        <v>104</v>
      </c>
      <c r="N55" s="3">
        <v>45302</v>
      </c>
      <c r="O55">
        <v>54</v>
      </c>
      <c r="P55">
        <v>82</v>
      </c>
      <c r="Q55">
        <v>-28</v>
      </c>
      <c r="R55" t="s">
        <v>105</v>
      </c>
    </row>
    <row r="56" spans="1:18">
      <c r="A56" t="s">
        <v>20</v>
      </c>
      <c r="B56" s="3">
        <v>45264</v>
      </c>
      <c r="C56">
        <v>9.52</v>
      </c>
      <c r="D56">
        <v>9.81</v>
      </c>
      <c r="E56">
        <v>9.5</v>
      </c>
      <c r="F56">
        <v>9.63</v>
      </c>
      <c r="G56">
        <v>9.58</v>
      </c>
      <c r="H56">
        <v>0.05</v>
      </c>
      <c r="I56">
        <v>0.5219</v>
      </c>
      <c r="J56">
        <v>411103.76</v>
      </c>
      <c r="K56">
        <v>396245.065</v>
      </c>
      <c r="L56" t="s">
        <v>103</v>
      </c>
      <c r="M56" t="s">
        <v>104</v>
      </c>
      <c r="N56" s="3">
        <v>45302</v>
      </c>
      <c r="O56">
        <v>55</v>
      </c>
      <c r="P56">
        <v>82</v>
      </c>
      <c r="Q56">
        <v>-27</v>
      </c>
      <c r="R56" t="s">
        <v>105</v>
      </c>
    </row>
    <row r="57" spans="1:18">
      <c r="A57" t="s">
        <v>20</v>
      </c>
      <c r="B57" s="3">
        <v>45265</v>
      </c>
      <c r="C57">
        <v>9.8</v>
      </c>
      <c r="D57">
        <v>9.92</v>
      </c>
      <c r="E57">
        <v>9.4</v>
      </c>
      <c r="F57">
        <v>9.4</v>
      </c>
      <c r="G57">
        <v>9.63</v>
      </c>
      <c r="H57">
        <v>-0.23</v>
      </c>
      <c r="I57">
        <v>-2.3884</v>
      </c>
      <c r="J57">
        <v>349768.6</v>
      </c>
      <c r="K57">
        <v>334979.564</v>
      </c>
      <c r="L57" t="s">
        <v>103</v>
      </c>
      <c r="M57" t="s">
        <v>104</v>
      </c>
      <c r="N57" s="3">
        <v>45302</v>
      </c>
      <c r="O57">
        <v>56</v>
      </c>
      <c r="P57">
        <v>82</v>
      </c>
      <c r="Q57">
        <v>-26</v>
      </c>
      <c r="R57" t="s">
        <v>105</v>
      </c>
    </row>
    <row r="58" spans="1:18">
      <c r="A58" t="s">
        <v>20</v>
      </c>
      <c r="B58" s="3">
        <v>45266</v>
      </c>
      <c r="C58">
        <v>9.37</v>
      </c>
      <c r="D58">
        <v>9.62</v>
      </c>
      <c r="E58">
        <v>9.33</v>
      </c>
      <c r="F58">
        <v>9.51</v>
      </c>
      <c r="G58">
        <v>9.4</v>
      </c>
      <c r="H58">
        <v>0.11</v>
      </c>
      <c r="I58">
        <v>1.1702</v>
      </c>
      <c r="J58">
        <v>279410</v>
      </c>
      <c r="K58">
        <v>264989.657</v>
      </c>
      <c r="L58" t="s">
        <v>103</v>
      </c>
      <c r="M58" t="s">
        <v>104</v>
      </c>
      <c r="N58" s="3">
        <v>45302</v>
      </c>
      <c r="O58">
        <v>57</v>
      </c>
      <c r="P58">
        <v>82</v>
      </c>
      <c r="Q58">
        <v>-25</v>
      </c>
      <c r="R58" t="s">
        <v>105</v>
      </c>
    </row>
    <row r="59" spans="1:18">
      <c r="A59" t="s">
        <v>20</v>
      </c>
      <c r="B59" s="3">
        <v>45267</v>
      </c>
      <c r="C59">
        <v>9.59</v>
      </c>
      <c r="D59">
        <v>9.8</v>
      </c>
      <c r="E59">
        <v>9.43</v>
      </c>
      <c r="F59">
        <v>9.5</v>
      </c>
      <c r="G59">
        <v>9.51</v>
      </c>
      <c r="H59">
        <v>-0.01</v>
      </c>
      <c r="I59">
        <v>-0.1052</v>
      </c>
      <c r="J59">
        <v>310908.82</v>
      </c>
      <c r="K59">
        <v>296953.643</v>
      </c>
      <c r="L59" t="s">
        <v>103</v>
      </c>
      <c r="M59" t="s">
        <v>104</v>
      </c>
      <c r="N59" s="3">
        <v>45302</v>
      </c>
      <c r="O59">
        <v>58</v>
      </c>
      <c r="P59">
        <v>82</v>
      </c>
      <c r="Q59">
        <v>-24</v>
      </c>
      <c r="R59" t="s">
        <v>105</v>
      </c>
    </row>
    <row r="60" spans="1:18">
      <c r="A60" t="s">
        <v>20</v>
      </c>
      <c r="B60" s="3">
        <v>45268</v>
      </c>
      <c r="C60">
        <v>9.49</v>
      </c>
      <c r="D60">
        <v>9.58</v>
      </c>
      <c r="E60">
        <v>9.31</v>
      </c>
      <c r="F60">
        <v>9.36</v>
      </c>
      <c r="G60">
        <v>9.5</v>
      </c>
      <c r="H60">
        <v>-0.14</v>
      </c>
      <c r="I60">
        <v>-1.4737</v>
      </c>
      <c r="J60">
        <v>265414.8</v>
      </c>
      <c r="K60">
        <v>249382.715</v>
      </c>
      <c r="L60" t="s">
        <v>103</v>
      </c>
      <c r="M60" t="s">
        <v>104</v>
      </c>
      <c r="N60" s="3">
        <v>45302</v>
      </c>
      <c r="O60">
        <v>59</v>
      </c>
      <c r="P60">
        <v>82</v>
      </c>
      <c r="Q60">
        <v>-23</v>
      </c>
      <c r="R60" t="s">
        <v>105</v>
      </c>
    </row>
    <row r="61" spans="1:18">
      <c r="A61" t="s">
        <v>20</v>
      </c>
      <c r="B61" s="3">
        <v>45271</v>
      </c>
      <c r="C61">
        <v>9.27</v>
      </c>
      <c r="D61">
        <v>9.49</v>
      </c>
      <c r="E61">
        <v>9.27</v>
      </c>
      <c r="F61">
        <v>9.48</v>
      </c>
      <c r="G61">
        <v>9.36</v>
      </c>
      <c r="H61">
        <v>0.12</v>
      </c>
      <c r="I61">
        <v>1.2821</v>
      </c>
      <c r="J61">
        <v>235224.94</v>
      </c>
      <c r="K61">
        <v>220926.3</v>
      </c>
      <c r="L61" t="s">
        <v>103</v>
      </c>
      <c r="M61" t="s">
        <v>104</v>
      </c>
      <c r="N61" s="3">
        <v>45302</v>
      </c>
      <c r="O61">
        <v>60</v>
      </c>
      <c r="P61">
        <v>82</v>
      </c>
      <c r="Q61">
        <v>-22</v>
      </c>
      <c r="R61" t="s">
        <v>105</v>
      </c>
    </row>
    <row r="62" spans="1:18">
      <c r="A62" t="s">
        <v>20</v>
      </c>
      <c r="B62" s="3">
        <v>45272</v>
      </c>
      <c r="C62">
        <v>9.46</v>
      </c>
      <c r="D62">
        <v>9.65</v>
      </c>
      <c r="E62">
        <v>9.35</v>
      </c>
      <c r="F62">
        <v>9.51</v>
      </c>
      <c r="G62">
        <v>9.48</v>
      </c>
      <c r="H62">
        <v>0.03</v>
      </c>
      <c r="I62">
        <v>0.3165</v>
      </c>
      <c r="J62">
        <v>340564</v>
      </c>
      <c r="K62">
        <v>323180.597</v>
      </c>
      <c r="L62" t="s">
        <v>103</v>
      </c>
      <c r="M62" t="s">
        <v>104</v>
      </c>
      <c r="N62" s="3">
        <v>45302</v>
      </c>
      <c r="O62">
        <v>61</v>
      </c>
      <c r="P62">
        <v>82</v>
      </c>
      <c r="Q62">
        <v>-21</v>
      </c>
      <c r="R62" t="s">
        <v>105</v>
      </c>
    </row>
    <row r="63" spans="1:18">
      <c r="A63" t="s">
        <v>20</v>
      </c>
      <c r="B63" s="3">
        <v>45273</v>
      </c>
      <c r="C63">
        <v>9.49</v>
      </c>
      <c r="D63">
        <v>9.55</v>
      </c>
      <c r="E63">
        <v>9.31</v>
      </c>
      <c r="F63">
        <v>9.31</v>
      </c>
      <c r="G63">
        <v>9.51</v>
      </c>
      <c r="H63">
        <v>-0.2</v>
      </c>
      <c r="I63">
        <v>-2.103</v>
      </c>
      <c r="J63">
        <v>264864.32</v>
      </c>
      <c r="K63">
        <v>249968.984</v>
      </c>
      <c r="L63" t="s">
        <v>103</v>
      </c>
      <c r="M63" t="s">
        <v>104</v>
      </c>
      <c r="N63" s="3">
        <v>45302</v>
      </c>
      <c r="O63">
        <v>62</v>
      </c>
      <c r="P63">
        <v>82</v>
      </c>
      <c r="Q63">
        <v>-20</v>
      </c>
      <c r="R63" t="s">
        <v>105</v>
      </c>
    </row>
    <row r="64" spans="1:18">
      <c r="A64" t="s">
        <v>20</v>
      </c>
      <c r="B64" s="3">
        <v>45274</v>
      </c>
      <c r="C64">
        <v>9.44</v>
      </c>
      <c r="D64">
        <v>9.49</v>
      </c>
      <c r="E64">
        <v>9.1</v>
      </c>
      <c r="F64">
        <v>9.14</v>
      </c>
      <c r="G64">
        <v>9.31</v>
      </c>
      <c r="H64">
        <v>-0.17</v>
      </c>
      <c r="I64">
        <v>-1.826</v>
      </c>
      <c r="J64">
        <v>290669.6</v>
      </c>
      <c r="K64">
        <v>269047.353</v>
      </c>
      <c r="L64" t="s">
        <v>103</v>
      </c>
      <c r="M64" t="s">
        <v>104</v>
      </c>
      <c r="N64" s="3">
        <v>45302</v>
      </c>
      <c r="O64">
        <v>63</v>
      </c>
      <c r="P64">
        <v>82</v>
      </c>
      <c r="Q64">
        <v>-19</v>
      </c>
      <c r="R64" t="s">
        <v>105</v>
      </c>
    </row>
    <row r="65" spans="1:18">
      <c r="A65" t="s">
        <v>20</v>
      </c>
      <c r="B65" s="3">
        <v>45275</v>
      </c>
      <c r="C65">
        <v>9.12</v>
      </c>
      <c r="D65">
        <v>9.18</v>
      </c>
      <c r="E65">
        <v>8.93</v>
      </c>
      <c r="F65">
        <v>8.95</v>
      </c>
      <c r="G65">
        <v>9.14</v>
      </c>
      <c r="H65">
        <v>-0.19</v>
      </c>
      <c r="I65">
        <v>-2.0788</v>
      </c>
      <c r="J65">
        <v>288043.6</v>
      </c>
      <c r="K65">
        <v>259138.926</v>
      </c>
      <c r="L65" t="s">
        <v>103</v>
      </c>
      <c r="M65" t="s">
        <v>104</v>
      </c>
      <c r="N65" s="3">
        <v>45302</v>
      </c>
      <c r="O65">
        <v>64</v>
      </c>
      <c r="P65">
        <v>82</v>
      </c>
      <c r="Q65">
        <v>-18</v>
      </c>
      <c r="R65" t="s">
        <v>105</v>
      </c>
    </row>
    <row r="66" spans="1:18">
      <c r="A66" t="s">
        <v>20</v>
      </c>
      <c r="B66" s="3">
        <v>45278</v>
      </c>
      <c r="C66">
        <v>9.03</v>
      </c>
      <c r="D66">
        <v>9.17</v>
      </c>
      <c r="E66">
        <v>8.81</v>
      </c>
      <c r="F66">
        <v>8.84</v>
      </c>
      <c r="G66">
        <v>8.95</v>
      </c>
      <c r="H66">
        <v>-0.11</v>
      </c>
      <c r="I66">
        <v>-1.2291</v>
      </c>
      <c r="J66">
        <v>216961.14</v>
      </c>
      <c r="K66">
        <v>193872.554</v>
      </c>
      <c r="L66" t="s">
        <v>103</v>
      </c>
      <c r="M66" t="s">
        <v>104</v>
      </c>
      <c r="N66" s="3">
        <v>45302</v>
      </c>
      <c r="O66">
        <v>65</v>
      </c>
      <c r="P66">
        <v>82</v>
      </c>
      <c r="Q66">
        <v>-17</v>
      </c>
      <c r="R66" t="s">
        <v>105</v>
      </c>
    </row>
    <row r="67" spans="1:18">
      <c r="A67" t="s">
        <v>20</v>
      </c>
      <c r="B67" s="3">
        <v>45279</v>
      </c>
      <c r="C67">
        <v>8.88</v>
      </c>
      <c r="D67">
        <v>8.94</v>
      </c>
      <c r="E67">
        <v>8.73</v>
      </c>
      <c r="F67">
        <v>8.8</v>
      </c>
      <c r="G67">
        <v>8.84</v>
      </c>
      <c r="H67">
        <v>-0.04</v>
      </c>
      <c r="I67">
        <v>-0.4525</v>
      </c>
      <c r="J67">
        <v>140146.4</v>
      </c>
      <c r="K67">
        <v>123322.792</v>
      </c>
      <c r="L67" t="s">
        <v>103</v>
      </c>
      <c r="M67" t="s">
        <v>104</v>
      </c>
      <c r="N67" s="3">
        <v>45302</v>
      </c>
      <c r="O67">
        <v>66</v>
      </c>
      <c r="P67">
        <v>82</v>
      </c>
      <c r="Q67">
        <v>-16</v>
      </c>
      <c r="R67" t="s">
        <v>105</v>
      </c>
    </row>
    <row r="68" spans="1:18">
      <c r="A68" t="s">
        <v>20</v>
      </c>
      <c r="B68" s="3">
        <v>45280</v>
      </c>
      <c r="C68">
        <v>8.82</v>
      </c>
      <c r="D68">
        <v>8.85</v>
      </c>
      <c r="E68">
        <v>8.55</v>
      </c>
      <c r="F68">
        <v>8.61</v>
      </c>
      <c r="G68">
        <v>8.8</v>
      </c>
      <c r="H68">
        <v>-0.19</v>
      </c>
      <c r="I68">
        <v>-2.1591</v>
      </c>
      <c r="J68">
        <v>196670.82</v>
      </c>
      <c r="K68">
        <v>170610.165</v>
      </c>
      <c r="L68" t="s">
        <v>103</v>
      </c>
      <c r="M68" t="s">
        <v>104</v>
      </c>
      <c r="N68" s="3">
        <v>45302</v>
      </c>
      <c r="O68">
        <v>67</v>
      </c>
      <c r="P68">
        <v>82</v>
      </c>
      <c r="Q68">
        <v>-15</v>
      </c>
      <c r="R68" t="s">
        <v>105</v>
      </c>
    </row>
    <row r="69" spans="1:18">
      <c r="A69" t="s">
        <v>20</v>
      </c>
      <c r="B69" s="3">
        <v>45281</v>
      </c>
      <c r="C69">
        <v>8.54</v>
      </c>
      <c r="D69">
        <v>8.7</v>
      </c>
      <c r="E69">
        <v>8.44</v>
      </c>
      <c r="F69">
        <v>8.63</v>
      </c>
      <c r="G69">
        <v>8.61</v>
      </c>
      <c r="H69">
        <v>0.02</v>
      </c>
      <c r="I69">
        <v>0.2323</v>
      </c>
      <c r="J69">
        <v>201419.8</v>
      </c>
      <c r="K69">
        <v>172791.927</v>
      </c>
      <c r="L69" t="s">
        <v>103</v>
      </c>
      <c r="M69" t="s">
        <v>104</v>
      </c>
      <c r="N69" s="3">
        <v>45302</v>
      </c>
      <c r="O69">
        <v>68</v>
      </c>
      <c r="P69">
        <v>82</v>
      </c>
      <c r="Q69">
        <v>-14</v>
      </c>
      <c r="R69" t="s">
        <v>105</v>
      </c>
    </row>
    <row r="70" spans="1:18">
      <c r="A70" t="s">
        <v>20</v>
      </c>
      <c r="B70" s="3">
        <v>45282</v>
      </c>
      <c r="C70">
        <v>8.72</v>
      </c>
      <c r="D70">
        <v>8.79</v>
      </c>
      <c r="E70">
        <v>8.44</v>
      </c>
      <c r="F70">
        <v>8.49</v>
      </c>
      <c r="G70">
        <v>8.63</v>
      </c>
      <c r="H70">
        <v>-0.14</v>
      </c>
      <c r="I70">
        <v>-1.6222</v>
      </c>
      <c r="J70">
        <v>194385.4</v>
      </c>
      <c r="K70">
        <v>167503.806</v>
      </c>
      <c r="L70" t="s">
        <v>103</v>
      </c>
      <c r="M70" t="s">
        <v>104</v>
      </c>
      <c r="N70" s="3">
        <v>45302</v>
      </c>
      <c r="O70">
        <v>69</v>
      </c>
      <c r="P70">
        <v>82</v>
      </c>
      <c r="Q70">
        <v>-13</v>
      </c>
      <c r="R70" t="s">
        <v>105</v>
      </c>
    </row>
    <row r="71" spans="1:18">
      <c r="A71" t="s">
        <v>20</v>
      </c>
      <c r="B71" s="3">
        <v>45285</v>
      </c>
      <c r="C71">
        <v>8.46</v>
      </c>
      <c r="D71">
        <v>8.55</v>
      </c>
      <c r="E71">
        <v>8.32</v>
      </c>
      <c r="F71">
        <v>8.34</v>
      </c>
      <c r="G71">
        <v>8.49</v>
      </c>
      <c r="H71">
        <v>-0.15</v>
      </c>
      <c r="I71">
        <v>-1.7668</v>
      </c>
      <c r="J71">
        <v>185305</v>
      </c>
      <c r="K71">
        <v>155467.608</v>
      </c>
      <c r="L71" t="s">
        <v>103</v>
      </c>
      <c r="M71" t="s">
        <v>104</v>
      </c>
      <c r="N71" s="3">
        <v>45302</v>
      </c>
      <c r="O71">
        <v>70</v>
      </c>
      <c r="P71">
        <v>82</v>
      </c>
      <c r="Q71">
        <v>-12</v>
      </c>
      <c r="R71" t="s">
        <v>105</v>
      </c>
    </row>
    <row r="72" spans="1:18">
      <c r="A72" t="s">
        <v>20</v>
      </c>
      <c r="B72" s="3">
        <v>45286</v>
      </c>
      <c r="C72">
        <v>8.35</v>
      </c>
      <c r="D72">
        <v>8.39</v>
      </c>
      <c r="E72">
        <v>8.22</v>
      </c>
      <c r="F72">
        <v>8.24</v>
      </c>
      <c r="G72">
        <v>8.34</v>
      </c>
      <c r="H72">
        <v>-0.1</v>
      </c>
      <c r="I72">
        <v>-1.199</v>
      </c>
      <c r="J72">
        <v>120816.61</v>
      </c>
      <c r="K72">
        <v>100084.329</v>
      </c>
      <c r="L72" t="s">
        <v>103</v>
      </c>
      <c r="M72" t="s">
        <v>104</v>
      </c>
      <c r="N72" s="3">
        <v>45302</v>
      </c>
      <c r="O72">
        <v>71</v>
      </c>
      <c r="P72">
        <v>82</v>
      </c>
      <c r="Q72">
        <v>-11</v>
      </c>
      <c r="R72" t="s">
        <v>105</v>
      </c>
    </row>
    <row r="73" spans="1:18">
      <c r="A73" t="s">
        <v>20</v>
      </c>
      <c r="B73" s="3">
        <v>45287</v>
      </c>
      <c r="C73">
        <v>8.4</v>
      </c>
      <c r="D73">
        <v>8.55</v>
      </c>
      <c r="E73">
        <v>8.32</v>
      </c>
      <c r="F73">
        <v>8.46</v>
      </c>
      <c r="G73">
        <v>8.24</v>
      </c>
      <c r="H73">
        <v>0.22</v>
      </c>
      <c r="I73">
        <v>2.6699</v>
      </c>
      <c r="J73">
        <v>188759.41</v>
      </c>
      <c r="K73">
        <v>158963.626</v>
      </c>
      <c r="L73" t="s">
        <v>103</v>
      </c>
      <c r="M73" t="s">
        <v>104</v>
      </c>
      <c r="N73" s="3">
        <v>45302</v>
      </c>
      <c r="O73">
        <v>72</v>
      </c>
      <c r="P73">
        <v>82</v>
      </c>
      <c r="Q73">
        <v>-10</v>
      </c>
      <c r="R73" t="s">
        <v>105</v>
      </c>
    </row>
    <row r="74" spans="1:18">
      <c r="A74" t="s">
        <v>20</v>
      </c>
      <c r="B74" s="3">
        <v>45288</v>
      </c>
      <c r="C74">
        <v>8.4</v>
      </c>
      <c r="D74">
        <v>8.49</v>
      </c>
      <c r="E74">
        <v>8.28</v>
      </c>
      <c r="F74">
        <v>8.43</v>
      </c>
      <c r="G74">
        <v>8.46</v>
      </c>
      <c r="H74">
        <v>-0.03</v>
      </c>
      <c r="I74">
        <v>-0.3546</v>
      </c>
      <c r="J74">
        <v>160299.41</v>
      </c>
      <c r="K74">
        <v>134989.448</v>
      </c>
      <c r="L74" t="s">
        <v>103</v>
      </c>
      <c r="M74" t="s">
        <v>104</v>
      </c>
      <c r="N74" s="3">
        <v>45302</v>
      </c>
      <c r="O74">
        <v>73</v>
      </c>
      <c r="P74">
        <v>82</v>
      </c>
      <c r="Q74">
        <v>-9</v>
      </c>
      <c r="R74" t="s">
        <v>105</v>
      </c>
    </row>
    <row r="75" spans="1:18">
      <c r="A75" t="s">
        <v>20</v>
      </c>
      <c r="B75" s="3">
        <v>45289</v>
      </c>
      <c r="C75">
        <v>8.38</v>
      </c>
      <c r="D75">
        <v>8.66</v>
      </c>
      <c r="E75">
        <v>8.38</v>
      </c>
      <c r="F75">
        <v>8.66</v>
      </c>
      <c r="G75">
        <v>8.43</v>
      </c>
      <c r="H75">
        <v>0.23</v>
      </c>
      <c r="I75">
        <v>2.7284</v>
      </c>
      <c r="J75">
        <v>202319</v>
      </c>
      <c r="K75">
        <v>173503.944</v>
      </c>
      <c r="L75" t="s">
        <v>103</v>
      </c>
      <c r="M75" t="s">
        <v>104</v>
      </c>
      <c r="N75" s="3">
        <v>45302</v>
      </c>
      <c r="O75">
        <v>74</v>
      </c>
      <c r="P75">
        <v>82</v>
      </c>
      <c r="Q75">
        <v>-8</v>
      </c>
      <c r="R75" t="s">
        <v>105</v>
      </c>
    </row>
    <row r="76" spans="1:18">
      <c r="A76" t="s">
        <v>20</v>
      </c>
      <c r="B76" s="3">
        <v>45293</v>
      </c>
      <c r="C76">
        <v>8.65</v>
      </c>
      <c r="D76">
        <v>8.7</v>
      </c>
      <c r="E76">
        <v>8.56</v>
      </c>
      <c r="F76">
        <v>8.57</v>
      </c>
      <c r="G76">
        <v>8.66</v>
      </c>
      <c r="H76">
        <v>-0.09</v>
      </c>
      <c r="I76">
        <v>-1.0393</v>
      </c>
      <c r="J76">
        <v>133578</v>
      </c>
      <c r="K76">
        <v>115269.136</v>
      </c>
      <c r="L76" t="s">
        <v>103</v>
      </c>
      <c r="M76" t="s">
        <v>104</v>
      </c>
      <c r="N76" s="3">
        <v>45302</v>
      </c>
      <c r="O76">
        <v>75</v>
      </c>
      <c r="P76">
        <v>82</v>
      </c>
      <c r="Q76">
        <v>-7</v>
      </c>
      <c r="R76" t="s">
        <v>105</v>
      </c>
    </row>
    <row r="77" spans="1:18">
      <c r="A77" t="s">
        <v>20</v>
      </c>
      <c r="B77" s="3">
        <v>45294</v>
      </c>
      <c r="C77">
        <v>8.53</v>
      </c>
      <c r="D77">
        <v>8.94</v>
      </c>
      <c r="E77">
        <v>8.44</v>
      </c>
      <c r="F77">
        <v>8.88</v>
      </c>
      <c r="G77">
        <v>8.57</v>
      </c>
      <c r="H77">
        <v>0.31</v>
      </c>
      <c r="I77">
        <v>3.6173</v>
      </c>
      <c r="J77">
        <v>501555.62</v>
      </c>
      <c r="K77">
        <v>438035.145</v>
      </c>
      <c r="L77" t="s">
        <v>103</v>
      </c>
      <c r="M77" t="s">
        <v>104</v>
      </c>
      <c r="N77" s="3">
        <v>45302</v>
      </c>
      <c r="O77">
        <v>76</v>
      </c>
      <c r="P77">
        <v>82</v>
      </c>
      <c r="Q77">
        <v>-6</v>
      </c>
      <c r="R77" t="s">
        <v>105</v>
      </c>
    </row>
    <row r="78" spans="1:18">
      <c r="A78" t="s">
        <v>20</v>
      </c>
      <c r="B78" s="3">
        <v>45295</v>
      </c>
      <c r="C78">
        <v>9.11</v>
      </c>
      <c r="D78">
        <v>9.16</v>
      </c>
      <c r="E78">
        <v>8.89</v>
      </c>
      <c r="F78">
        <v>8.9</v>
      </c>
      <c r="G78">
        <v>8.88</v>
      </c>
      <c r="H78">
        <v>0.02</v>
      </c>
      <c r="I78">
        <v>0.2252</v>
      </c>
      <c r="J78">
        <v>607004.81</v>
      </c>
      <c r="K78">
        <v>547540.22</v>
      </c>
      <c r="L78" t="s">
        <v>103</v>
      </c>
      <c r="M78" t="s">
        <v>104</v>
      </c>
      <c r="N78" s="3">
        <v>45302</v>
      </c>
      <c r="O78">
        <v>77</v>
      </c>
      <c r="P78">
        <v>82</v>
      </c>
      <c r="Q78">
        <v>-5</v>
      </c>
      <c r="R78" t="s">
        <v>105</v>
      </c>
    </row>
    <row r="79" spans="1:18">
      <c r="A79" t="s">
        <v>20</v>
      </c>
      <c r="B79" s="3">
        <v>45296</v>
      </c>
      <c r="C79">
        <v>8.92</v>
      </c>
      <c r="D79">
        <v>8.99</v>
      </c>
      <c r="E79">
        <v>8.49</v>
      </c>
      <c r="F79">
        <v>8.54</v>
      </c>
      <c r="G79">
        <v>8.9</v>
      </c>
      <c r="H79">
        <v>-0.36</v>
      </c>
      <c r="I79">
        <v>-4.0449</v>
      </c>
      <c r="J79">
        <v>382487</v>
      </c>
      <c r="K79">
        <v>332922.458</v>
      </c>
      <c r="L79" t="s">
        <v>103</v>
      </c>
      <c r="M79" t="s">
        <v>104</v>
      </c>
      <c r="N79" s="3">
        <v>45302</v>
      </c>
      <c r="O79">
        <v>78</v>
      </c>
      <c r="P79">
        <v>82</v>
      </c>
      <c r="Q79">
        <v>-4</v>
      </c>
      <c r="R79" t="s">
        <v>105</v>
      </c>
    </row>
    <row r="80" spans="1:18">
      <c r="A80" t="s">
        <v>20</v>
      </c>
      <c r="B80" s="3">
        <v>45299</v>
      </c>
      <c r="C80">
        <v>8.4</v>
      </c>
      <c r="D80">
        <v>8.49</v>
      </c>
      <c r="E80">
        <v>8.24</v>
      </c>
      <c r="F80">
        <v>8.25</v>
      </c>
      <c r="G80">
        <v>8.54</v>
      </c>
      <c r="H80">
        <v>-0.29</v>
      </c>
      <c r="I80">
        <v>-3.3958</v>
      </c>
      <c r="J80">
        <v>240809</v>
      </c>
      <c r="K80">
        <v>201001.365</v>
      </c>
      <c r="L80" t="s">
        <v>103</v>
      </c>
      <c r="M80" t="s">
        <v>104</v>
      </c>
      <c r="N80" s="3">
        <v>45302</v>
      </c>
      <c r="O80">
        <v>79</v>
      </c>
      <c r="P80">
        <v>82</v>
      </c>
      <c r="Q80">
        <v>-3</v>
      </c>
      <c r="R80" t="s">
        <v>105</v>
      </c>
    </row>
    <row r="81" spans="1:18">
      <c r="A81" t="s">
        <v>20</v>
      </c>
      <c r="B81" s="3">
        <v>45300</v>
      </c>
      <c r="C81">
        <v>8.31</v>
      </c>
      <c r="D81">
        <v>8.41</v>
      </c>
      <c r="E81">
        <v>8.14</v>
      </c>
      <c r="F81">
        <v>8.25</v>
      </c>
      <c r="G81">
        <v>8.25</v>
      </c>
      <c r="H81">
        <v>0</v>
      </c>
      <c r="I81">
        <v>0</v>
      </c>
      <c r="J81">
        <v>185699.2</v>
      </c>
      <c r="K81">
        <v>153737.25</v>
      </c>
      <c r="L81" t="s">
        <v>103</v>
      </c>
      <c r="M81" t="s">
        <v>104</v>
      </c>
      <c r="N81" s="3">
        <v>45302</v>
      </c>
      <c r="O81">
        <v>80</v>
      </c>
      <c r="P81">
        <v>82</v>
      </c>
      <c r="Q81">
        <v>-2</v>
      </c>
      <c r="R81" t="s">
        <v>105</v>
      </c>
    </row>
    <row r="82" spans="1:18">
      <c r="A82" t="s">
        <v>20</v>
      </c>
      <c r="B82" s="3">
        <v>45301</v>
      </c>
      <c r="C82">
        <v>8.2</v>
      </c>
      <c r="D82">
        <v>8.32</v>
      </c>
      <c r="E82">
        <v>8.05</v>
      </c>
      <c r="F82">
        <v>8.07</v>
      </c>
      <c r="G82">
        <v>8.25</v>
      </c>
      <c r="H82">
        <v>-0.18</v>
      </c>
      <c r="I82">
        <v>-2.1818</v>
      </c>
      <c r="J82">
        <v>146911</v>
      </c>
      <c r="K82">
        <v>119661.792</v>
      </c>
      <c r="L82" t="s">
        <v>103</v>
      </c>
      <c r="M82" t="s">
        <v>104</v>
      </c>
      <c r="N82" s="3">
        <v>45302</v>
      </c>
      <c r="O82">
        <v>81</v>
      </c>
      <c r="P82">
        <v>82</v>
      </c>
      <c r="Q82">
        <v>-1</v>
      </c>
      <c r="R82" t="s">
        <v>105</v>
      </c>
    </row>
    <row r="83" spans="1:18">
      <c r="A83" t="s">
        <v>20</v>
      </c>
      <c r="B83" s="3">
        <v>45302</v>
      </c>
      <c r="C83">
        <v>8.04</v>
      </c>
      <c r="D83">
        <v>8.36</v>
      </c>
      <c r="E83">
        <v>8.04</v>
      </c>
      <c r="F83">
        <v>8.36</v>
      </c>
      <c r="G83">
        <v>8.07</v>
      </c>
      <c r="H83">
        <v>0.29</v>
      </c>
      <c r="I83">
        <v>3.5936</v>
      </c>
      <c r="J83">
        <v>174083.8</v>
      </c>
      <c r="K83">
        <v>143362.737</v>
      </c>
      <c r="L83" t="s">
        <v>103</v>
      </c>
      <c r="M83" t="s">
        <v>104</v>
      </c>
      <c r="N83" s="3">
        <v>45302</v>
      </c>
      <c r="O83">
        <v>82</v>
      </c>
      <c r="P83">
        <v>82</v>
      </c>
      <c r="Q83">
        <v>0</v>
      </c>
      <c r="R83" t="s">
        <v>106</v>
      </c>
    </row>
    <row r="84" spans="1:18">
      <c r="A84" t="s">
        <v>20</v>
      </c>
      <c r="B84" s="3">
        <v>45303</v>
      </c>
      <c r="C84">
        <v>8.36</v>
      </c>
      <c r="D84">
        <v>8.74</v>
      </c>
      <c r="E84">
        <v>8.32</v>
      </c>
      <c r="F84">
        <v>8.34</v>
      </c>
      <c r="G84">
        <v>8.36</v>
      </c>
      <c r="H84">
        <v>-0.02</v>
      </c>
      <c r="I84">
        <v>-0.2392</v>
      </c>
      <c r="J84">
        <v>240175.6</v>
      </c>
      <c r="K84">
        <v>203956.466</v>
      </c>
      <c r="L84" t="s">
        <v>103</v>
      </c>
      <c r="M84" t="s">
        <v>104</v>
      </c>
      <c r="N84" s="3">
        <v>45302</v>
      </c>
      <c r="O84">
        <v>83</v>
      </c>
      <c r="P84">
        <v>82</v>
      </c>
      <c r="Q84">
        <v>1</v>
      </c>
      <c r="R84" t="s">
        <v>107</v>
      </c>
    </row>
    <row r="85" spans="1:18">
      <c r="A85" t="s">
        <v>20</v>
      </c>
      <c r="B85" s="3">
        <v>45306</v>
      </c>
      <c r="C85">
        <v>8.26</v>
      </c>
      <c r="D85">
        <v>8.45</v>
      </c>
      <c r="E85">
        <v>8.2</v>
      </c>
      <c r="F85">
        <v>8.27</v>
      </c>
      <c r="G85">
        <v>8.34</v>
      </c>
      <c r="H85">
        <v>-0.07</v>
      </c>
      <c r="I85">
        <v>-0.8393</v>
      </c>
      <c r="J85">
        <v>148964</v>
      </c>
      <c r="K85">
        <v>123754.182</v>
      </c>
      <c r="L85" t="s">
        <v>103</v>
      </c>
      <c r="M85" t="s">
        <v>104</v>
      </c>
      <c r="N85" s="3">
        <v>45302</v>
      </c>
      <c r="O85">
        <v>84</v>
      </c>
      <c r="P85">
        <v>82</v>
      </c>
      <c r="Q85">
        <v>2</v>
      </c>
      <c r="R85" t="s">
        <v>107</v>
      </c>
    </row>
    <row r="86" spans="1:18">
      <c r="A86" t="s">
        <v>20</v>
      </c>
      <c r="B86" s="3">
        <v>45307</v>
      </c>
      <c r="C86">
        <v>8.27</v>
      </c>
      <c r="D86">
        <v>8.3</v>
      </c>
      <c r="E86">
        <v>7.95</v>
      </c>
      <c r="F86">
        <v>8.04</v>
      </c>
      <c r="G86">
        <v>8.27</v>
      </c>
      <c r="H86">
        <v>-0.23</v>
      </c>
      <c r="I86">
        <v>-2.7811</v>
      </c>
      <c r="J86">
        <v>198869.02</v>
      </c>
      <c r="K86">
        <v>160071.592</v>
      </c>
      <c r="L86" t="s">
        <v>103</v>
      </c>
      <c r="M86" t="s">
        <v>104</v>
      </c>
      <c r="N86" s="3">
        <v>45302</v>
      </c>
      <c r="O86">
        <v>85</v>
      </c>
      <c r="P86">
        <v>82</v>
      </c>
      <c r="Q86">
        <v>3</v>
      </c>
      <c r="R86" t="s">
        <v>107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24</v>
      </c>
    </row>
    <row r="3" spans="1:2">
      <c r="A3" s="5" t="s">
        <v>75</v>
      </c>
      <c r="B3" s="8" t="s">
        <v>25</v>
      </c>
    </row>
    <row r="4" spans="1:2">
      <c r="A4" s="5" t="s">
        <v>2</v>
      </c>
      <c r="B4" s="7">
        <v>45907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spans="1:2">
      <c r="A7" s="5" t="s">
        <v>1</v>
      </c>
      <c r="B7">
        <v>21</v>
      </c>
    </row>
    <row r="8" spans="1:2">
      <c r="A8" s="5" t="s">
        <v>80</v>
      </c>
      <c r="B8" t="s">
        <v>110</v>
      </c>
    </row>
    <row r="9" spans="1:2">
      <c r="A9" s="5" t="s">
        <v>5</v>
      </c>
      <c r="B9" t="s">
        <v>16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26</v>
      </c>
    </row>
    <row r="12" spans="1:2">
      <c r="A12" s="5" t="s">
        <v>3</v>
      </c>
      <c r="B12" s="3">
        <v>45908</v>
      </c>
    </row>
    <row r="13" spans="1:2">
      <c r="A13" s="5" t="s">
        <v>82</v>
      </c>
      <c r="B13" t="s">
        <v>111</v>
      </c>
    </row>
    <row r="14" spans="1:2">
      <c r="A14" s="5" t="s">
        <v>84</v>
      </c>
      <c r="B14" t="s">
        <v>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24</v>
      </c>
      <c r="B2" s="3">
        <v>45817</v>
      </c>
      <c r="C2">
        <v>7.26</v>
      </c>
      <c r="D2">
        <v>7.31</v>
      </c>
      <c r="E2">
        <v>6.91</v>
      </c>
      <c r="F2">
        <v>6.96</v>
      </c>
      <c r="G2">
        <v>7.26</v>
      </c>
      <c r="H2">
        <v>-0.3</v>
      </c>
      <c r="I2">
        <v>-4.1322</v>
      </c>
      <c r="J2">
        <v>856904.31</v>
      </c>
      <c r="K2">
        <v>602444.738</v>
      </c>
      <c r="L2" t="s">
        <v>103</v>
      </c>
      <c r="M2" t="s">
        <v>104</v>
      </c>
      <c r="N2" s="3">
        <v>45907</v>
      </c>
      <c r="O2">
        <v>1</v>
      </c>
      <c r="P2">
        <v>66</v>
      </c>
      <c r="Q2">
        <v>-65</v>
      </c>
      <c r="R2" t="s">
        <v>105</v>
      </c>
    </row>
    <row r="3" spans="1:19">
      <c r="A3" t="s">
        <v>24</v>
      </c>
      <c r="B3" s="3">
        <v>45818</v>
      </c>
      <c r="C3">
        <v>6.95</v>
      </c>
      <c r="D3">
        <v>6.95</v>
      </c>
      <c r="E3">
        <v>6.71</v>
      </c>
      <c r="F3">
        <v>6.79</v>
      </c>
      <c r="G3">
        <v>6.96</v>
      </c>
      <c r="H3">
        <v>-0.17</v>
      </c>
      <c r="I3">
        <v>-2.4425</v>
      </c>
      <c r="J3">
        <v>597267.8</v>
      </c>
      <c r="K3">
        <v>406651.311</v>
      </c>
      <c r="L3" t="s">
        <v>103</v>
      </c>
      <c r="M3" t="s">
        <v>104</v>
      </c>
      <c r="N3" s="3">
        <v>45907</v>
      </c>
      <c r="O3">
        <v>2</v>
      </c>
      <c r="P3">
        <v>66</v>
      </c>
      <c r="Q3">
        <v>-64</v>
      </c>
      <c r="R3" t="s">
        <v>105</v>
      </c>
    </row>
    <row r="4" spans="1:19">
      <c r="A4" t="s">
        <v>24</v>
      </c>
      <c r="B4" s="3">
        <v>45819</v>
      </c>
      <c r="C4">
        <v>6.79</v>
      </c>
      <c r="D4">
        <v>6.85</v>
      </c>
      <c r="E4">
        <v>6.74</v>
      </c>
      <c r="F4">
        <v>6.75</v>
      </c>
      <c r="G4">
        <v>6.79</v>
      </c>
      <c r="H4">
        <v>-0.04</v>
      </c>
      <c r="I4">
        <v>-0.5891</v>
      </c>
      <c r="J4">
        <v>288112.76</v>
      </c>
      <c r="K4">
        <v>195398.88</v>
      </c>
      <c r="L4" t="s">
        <v>103</v>
      </c>
      <c r="M4" t="s">
        <v>104</v>
      </c>
      <c r="N4" s="3">
        <v>45907</v>
      </c>
      <c r="O4">
        <v>3</v>
      </c>
      <c r="P4">
        <v>66</v>
      </c>
      <c r="Q4">
        <v>-63</v>
      </c>
      <c r="R4" t="s">
        <v>105</v>
      </c>
    </row>
    <row r="5" spans="1:19">
      <c r="A5" t="s">
        <v>24</v>
      </c>
      <c r="B5" s="3">
        <v>45820</v>
      </c>
      <c r="C5">
        <v>6.71</v>
      </c>
      <c r="D5">
        <v>6.78</v>
      </c>
      <c r="E5">
        <v>6.65</v>
      </c>
      <c r="F5">
        <v>6.7</v>
      </c>
      <c r="G5">
        <v>6.75</v>
      </c>
      <c r="H5">
        <v>-0.05</v>
      </c>
      <c r="I5">
        <v>-0.7407</v>
      </c>
      <c r="J5">
        <v>292918.2</v>
      </c>
      <c r="K5">
        <v>196362.245</v>
      </c>
      <c r="L5" t="s">
        <v>103</v>
      </c>
      <c r="M5" t="s">
        <v>104</v>
      </c>
      <c r="N5" s="3">
        <v>45907</v>
      </c>
      <c r="O5">
        <v>4</v>
      </c>
      <c r="P5">
        <v>66</v>
      </c>
      <c r="Q5">
        <v>-62</v>
      </c>
      <c r="R5" t="s">
        <v>105</v>
      </c>
    </row>
    <row r="6" spans="1:19">
      <c r="A6" t="s">
        <v>24</v>
      </c>
      <c r="B6" s="3">
        <v>45821</v>
      </c>
      <c r="C6">
        <v>6.71</v>
      </c>
      <c r="D6">
        <v>6.72</v>
      </c>
      <c r="E6">
        <v>6.52</v>
      </c>
      <c r="F6">
        <v>6.58</v>
      </c>
      <c r="G6">
        <v>6.7</v>
      </c>
      <c r="H6">
        <v>-0.12</v>
      </c>
      <c r="I6">
        <v>-1.791</v>
      </c>
      <c r="J6">
        <v>276312</v>
      </c>
      <c r="K6">
        <v>182096.01</v>
      </c>
      <c r="L6" t="s">
        <v>103</v>
      </c>
      <c r="M6" t="s">
        <v>104</v>
      </c>
      <c r="N6" s="3">
        <v>45907</v>
      </c>
      <c r="O6">
        <v>5</v>
      </c>
      <c r="P6">
        <v>66</v>
      </c>
      <c r="Q6">
        <v>-61</v>
      </c>
      <c r="R6" t="s">
        <v>105</v>
      </c>
    </row>
    <row r="7" spans="1:19">
      <c r="A7" t="s">
        <v>24</v>
      </c>
      <c r="B7" s="3">
        <v>45824</v>
      </c>
      <c r="C7">
        <v>6.59</v>
      </c>
      <c r="D7">
        <v>6.65</v>
      </c>
      <c r="E7">
        <v>6.55</v>
      </c>
      <c r="F7">
        <v>6.62</v>
      </c>
      <c r="G7">
        <v>6.58</v>
      </c>
      <c r="H7">
        <v>0.04</v>
      </c>
      <c r="I7">
        <v>0.6079</v>
      </c>
      <c r="J7">
        <v>187950.63</v>
      </c>
      <c r="K7">
        <v>124332.806</v>
      </c>
      <c r="L7" t="s">
        <v>103</v>
      </c>
      <c r="M7" t="s">
        <v>104</v>
      </c>
      <c r="N7" s="3">
        <v>45907</v>
      </c>
      <c r="O7">
        <v>6</v>
      </c>
      <c r="P7">
        <v>66</v>
      </c>
      <c r="Q7">
        <v>-60</v>
      </c>
      <c r="R7" t="s">
        <v>105</v>
      </c>
    </row>
    <row r="8" spans="1:19">
      <c r="A8" t="s">
        <v>24</v>
      </c>
      <c r="B8" s="3">
        <v>45825</v>
      </c>
      <c r="C8">
        <v>6.61</v>
      </c>
      <c r="D8">
        <v>6.76</v>
      </c>
      <c r="E8">
        <v>6.6</v>
      </c>
      <c r="F8">
        <v>6.66</v>
      </c>
      <c r="G8">
        <v>6.62</v>
      </c>
      <c r="H8">
        <v>0.04</v>
      </c>
      <c r="I8">
        <v>0.6042</v>
      </c>
      <c r="J8">
        <v>262872</v>
      </c>
      <c r="K8">
        <v>175575.273</v>
      </c>
      <c r="L8" t="s">
        <v>103</v>
      </c>
      <c r="M8" t="s">
        <v>104</v>
      </c>
      <c r="N8" s="3">
        <v>45907</v>
      </c>
      <c r="O8">
        <v>7</v>
      </c>
      <c r="P8">
        <v>66</v>
      </c>
      <c r="Q8">
        <v>-59</v>
      </c>
      <c r="R8" t="s">
        <v>105</v>
      </c>
    </row>
    <row r="9" spans="1:19">
      <c r="A9" t="s">
        <v>24</v>
      </c>
      <c r="B9" s="3">
        <v>45826</v>
      </c>
      <c r="C9">
        <v>6.66</v>
      </c>
      <c r="D9">
        <v>6.98</v>
      </c>
      <c r="E9">
        <v>6.63</v>
      </c>
      <c r="F9">
        <v>6.97</v>
      </c>
      <c r="G9">
        <v>6.66</v>
      </c>
      <c r="H9">
        <v>0.31</v>
      </c>
      <c r="I9">
        <v>4.6547</v>
      </c>
      <c r="J9">
        <v>719293.36</v>
      </c>
      <c r="K9">
        <v>493422.454</v>
      </c>
      <c r="L9" t="s">
        <v>103</v>
      </c>
      <c r="M9" t="s">
        <v>104</v>
      </c>
      <c r="N9" s="3">
        <v>45907</v>
      </c>
      <c r="O9">
        <v>8</v>
      </c>
      <c r="P9">
        <v>66</v>
      </c>
      <c r="Q9">
        <v>-58</v>
      </c>
      <c r="R9" t="s">
        <v>105</v>
      </c>
    </row>
    <row r="10" spans="1:19">
      <c r="A10" t="s">
        <v>24</v>
      </c>
      <c r="B10" s="3">
        <v>45827</v>
      </c>
      <c r="C10">
        <v>6.97</v>
      </c>
      <c r="D10">
        <v>7.28</v>
      </c>
      <c r="E10">
        <v>6.84</v>
      </c>
      <c r="F10">
        <v>7.09</v>
      </c>
      <c r="G10">
        <v>6.97</v>
      </c>
      <c r="H10">
        <v>0.12</v>
      </c>
      <c r="I10">
        <v>1.7217</v>
      </c>
      <c r="J10">
        <v>777669.35</v>
      </c>
      <c r="K10">
        <v>552469.385</v>
      </c>
      <c r="L10" t="s">
        <v>103</v>
      </c>
      <c r="M10" t="s">
        <v>104</v>
      </c>
      <c r="N10" s="3">
        <v>45907</v>
      </c>
      <c r="O10">
        <v>9</v>
      </c>
      <c r="P10">
        <v>66</v>
      </c>
      <c r="Q10">
        <v>-57</v>
      </c>
      <c r="R10" t="s">
        <v>105</v>
      </c>
    </row>
    <row r="11" spans="1:19">
      <c r="A11" t="s">
        <v>24</v>
      </c>
      <c r="B11" s="3">
        <v>45828</v>
      </c>
      <c r="C11">
        <v>7.1</v>
      </c>
      <c r="D11">
        <v>7.46</v>
      </c>
      <c r="E11">
        <v>6.88</v>
      </c>
      <c r="F11">
        <v>7.36</v>
      </c>
      <c r="G11">
        <v>7.09</v>
      </c>
      <c r="H11">
        <v>0.27</v>
      </c>
      <c r="I11">
        <v>3.8082</v>
      </c>
      <c r="J11">
        <v>870026.1</v>
      </c>
      <c r="K11">
        <v>627279.618</v>
      </c>
      <c r="L11" t="s">
        <v>103</v>
      </c>
      <c r="M11" t="s">
        <v>104</v>
      </c>
      <c r="N11" s="3">
        <v>45907</v>
      </c>
      <c r="O11">
        <v>10</v>
      </c>
      <c r="P11">
        <v>66</v>
      </c>
      <c r="Q11">
        <v>-56</v>
      </c>
      <c r="R11" t="s">
        <v>105</v>
      </c>
    </row>
    <row r="12" spans="1:19">
      <c r="A12" t="s">
        <v>24</v>
      </c>
      <c r="B12" s="3">
        <v>45831</v>
      </c>
      <c r="C12">
        <v>7.17</v>
      </c>
      <c r="D12">
        <v>7.54</v>
      </c>
      <c r="E12">
        <v>7.06</v>
      </c>
      <c r="F12">
        <v>7.34</v>
      </c>
      <c r="G12">
        <v>7.36</v>
      </c>
      <c r="H12">
        <v>-0.02</v>
      </c>
      <c r="I12">
        <v>-0.2717</v>
      </c>
      <c r="J12">
        <v>634537.13</v>
      </c>
      <c r="K12">
        <v>462274.284</v>
      </c>
      <c r="L12" t="s">
        <v>103</v>
      </c>
      <c r="M12" t="s">
        <v>104</v>
      </c>
      <c r="N12" s="3">
        <v>45907</v>
      </c>
      <c r="O12">
        <v>11</v>
      </c>
      <c r="P12">
        <v>66</v>
      </c>
      <c r="Q12">
        <v>-55</v>
      </c>
      <c r="R12" t="s">
        <v>105</v>
      </c>
    </row>
    <row r="13" spans="1:19">
      <c r="A13" t="s">
        <v>24</v>
      </c>
      <c r="B13" s="3">
        <v>45832</v>
      </c>
      <c r="C13">
        <v>7.27</v>
      </c>
      <c r="D13">
        <v>7.5</v>
      </c>
      <c r="E13">
        <v>7.24</v>
      </c>
      <c r="F13">
        <v>7.35</v>
      </c>
      <c r="G13">
        <v>7.34</v>
      </c>
      <c r="H13">
        <v>0.01</v>
      </c>
      <c r="I13">
        <v>0.1362</v>
      </c>
      <c r="J13">
        <v>636334.48</v>
      </c>
      <c r="K13">
        <v>470132.487</v>
      </c>
      <c r="L13" t="s">
        <v>103</v>
      </c>
      <c r="M13" t="s">
        <v>104</v>
      </c>
      <c r="N13" s="3">
        <v>45907</v>
      </c>
      <c r="O13">
        <v>12</v>
      </c>
      <c r="P13">
        <v>66</v>
      </c>
      <c r="Q13">
        <v>-54</v>
      </c>
      <c r="R13" t="s">
        <v>105</v>
      </c>
    </row>
    <row r="14" spans="1:19">
      <c r="A14" t="s">
        <v>24</v>
      </c>
      <c r="B14" s="3">
        <v>45833</v>
      </c>
      <c r="C14">
        <v>7.35</v>
      </c>
      <c r="D14">
        <v>7.99</v>
      </c>
      <c r="E14">
        <v>7.31</v>
      </c>
      <c r="F14">
        <v>7.43</v>
      </c>
      <c r="G14">
        <v>7.35</v>
      </c>
      <c r="H14">
        <v>0.08</v>
      </c>
      <c r="I14">
        <v>1.0884</v>
      </c>
      <c r="J14">
        <v>1135477.71</v>
      </c>
      <c r="K14">
        <v>866713.127</v>
      </c>
      <c r="L14" t="s">
        <v>103</v>
      </c>
      <c r="M14" t="s">
        <v>104</v>
      </c>
      <c r="N14" s="3">
        <v>45907</v>
      </c>
      <c r="O14">
        <v>13</v>
      </c>
      <c r="P14">
        <v>66</v>
      </c>
      <c r="Q14">
        <v>-53</v>
      </c>
      <c r="R14" t="s">
        <v>105</v>
      </c>
    </row>
    <row r="15" spans="1:19">
      <c r="A15" t="s">
        <v>24</v>
      </c>
      <c r="B15" s="3">
        <v>45834</v>
      </c>
      <c r="C15">
        <v>7.36</v>
      </c>
      <c r="D15">
        <v>7.47</v>
      </c>
      <c r="E15">
        <v>7.19</v>
      </c>
      <c r="F15">
        <v>7.19</v>
      </c>
      <c r="G15">
        <v>7.43</v>
      </c>
      <c r="H15">
        <v>-0.24</v>
      </c>
      <c r="I15">
        <v>-3.2301</v>
      </c>
      <c r="J15">
        <v>790071.03</v>
      </c>
      <c r="K15">
        <v>577247.156</v>
      </c>
      <c r="L15" t="s">
        <v>103</v>
      </c>
      <c r="M15" t="s">
        <v>104</v>
      </c>
      <c r="N15" s="3">
        <v>45907</v>
      </c>
      <c r="O15">
        <v>14</v>
      </c>
      <c r="P15">
        <v>66</v>
      </c>
      <c r="Q15">
        <v>-52</v>
      </c>
      <c r="R15" t="s">
        <v>105</v>
      </c>
    </row>
    <row r="16" spans="1:19">
      <c r="A16" t="s">
        <v>24</v>
      </c>
      <c r="B16" s="3">
        <v>45835</v>
      </c>
      <c r="C16">
        <v>7.29</v>
      </c>
      <c r="D16">
        <v>7.59</v>
      </c>
      <c r="E16">
        <v>7.24</v>
      </c>
      <c r="F16">
        <v>7.47</v>
      </c>
      <c r="G16">
        <v>7.19</v>
      </c>
      <c r="H16">
        <v>0.28</v>
      </c>
      <c r="I16">
        <v>3.8943</v>
      </c>
      <c r="J16">
        <v>754033</v>
      </c>
      <c r="K16">
        <v>559503.603</v>
      </c>
      <c r="L16" t="s">
        <v>103</v>
      </c>
      <c r="M16" t="s">
        <v>104</v>
      </c>
      <c r="N16" s="3">
        <v>45907</v>
      </c>
      <c r="O16">
        <v>15</v>
      </c>
      <c r="P16">
        <v>66</v>
      </c>
      <c r="Q16">
        <v>-51</v>
      </c>
      <c r="R16" t="s">
        <v>105</v>
      </c>
    </row>
    <row r="17" spans="1:18">
      <c r="A17" t="s">
        <v>24</v>
      </c>
      <c r="B17" s="3">
        <v>45838</v>
      </c>
      <c r="C17">
        <v>7.48</v>
      </c>
      <c r="D17">
        <v>7.65</v>
      </c>
      <c r="E17">
        <v>7.47</v>
      </c>
      <c r="F17">
        <v>7.53</v>
      </c>
      <c r="G17">
        <v>7.47</v>
      </c>
      <c r="H17">
        <v>0.06</v>
      </c>
      <c r="I17">
        <v>0.8032</v>
      </c>
      <c r="J17">
        <v>557796</v>
      </c>
      <c r="K17">
        <v>420960.079</v>
      </c>
      <c r="L17" t="s">
        <v>103</v>
      </c>
      <c r="M17" t="s">
        <v>104</v>
      </c>
      <c r="N17" s="3">
        <v>45907</v>
      </c>
      <c r="O17">
        <v>16</v>
      </c>
      <c r="P17">
        <v>66</v>
      </c>
      <c r="Q17">
        <v>-50</v>
      </c>
      <c r="R17" t="s">
        <v>105</v>
      </c>
    </row>
    <row r="18" spans="1:18">
      <c r="A18" t="s">
        <v>24</v>
      </c>
      <c r="B18" s="3">
        <v>45839</v>
      </c>
      <c r="C18">
        <v>7.56</v>
      </c>
      <c r="D18">
        <v>8.16</v>
      </c>
      <c r="E18">
        <v>7.52</v>
      </c>
      <c r="F18">
        <v>8.08</v>
      </c>
      <c r="G18">
        <v>7.53</v>
      </c>
      <c r="H18">
        <v>0.55</v>
      </c>
      <c r="I18">
        <v>7.3041</v>
      </c>
      <c r="J18">
        <v>1387317.89</v>
      </c>
      <c r="K18">
        <v>1088259.559</v>
      </c>
      <c r="L18" t="s">
        <v>103</v>
      </c>
      <c r="M18" t="s">
        <v>104</v>
      </c>
      <c r="N18" s="3">
        <v>45907</v>
      </c>
      <c r="O18">
        <v>17</v>
      </c>
      <c r="P18">
        <v>66</v>
      </c>
      <c r="Q18">
        <v>-49</v>
      </c>
      <c r="R18" t="s">
        <v>105</v>
      </c>
    </row>
    <row r="19" spans="1:18">
      <c r="A19" t="s">
        <v>24</v>
      </c>
      <c r="B19" s="3">
        <v>45840</v>
      </c>
      <c r="C19">
        <v>7.93</v>
      </c>
      <c r="D19">
        <v>7.97</v>
      </c>
      <c r="E19">
        <v>7.67</v>
      </c>
      <c r="F19">
        <v>7.82</v>
      </c>
      <c r="G19">
        <v>8.08</v>
      </c>
      <c r="H19">
        <v>-0.26</v>
      </c>
      <c r="I19">
        <v>-3.2178</v>
      </c>
      <c r="J19">
        <v>829422.43</v>
      </c>
      <c r="K19">
        <v>650349.395</v>
      </c>
      <c r="L19" t="s">
        <v>103</v>
      </c>
      <c r="M19" t="s">
        <v>104</v>
      </c>
      <c r="N19" s="3">
        <v>45907</v>
      </c>
      <c r="O19">
        <v>18</v>
      </c>
      <c r="P19">
        <v>66</v>
      </c>
      <c r="Q19">
        <v>-48</v>
      </c>
      <c r="R19" t="s">
        <v>105</v>
      </c>
    </row>
    <row r="20" spans="1:18">
      <c r="A20" t="s">
        <v>24</v>
      </c>
      <c r="B20" s="3">
        <v>45841</v>
      </c>
      <c r="C20">
        <v>7.81</v>
      </c>
      <c r="D20">
        <v>7.9</v>
      </c>
      <c r="E20">
        <v>7.7</v>
      </c>
      <c r="F20">
        <v>7.82</v>
      </c>
      <c r="G20">
        <v>7.82</v>
      </c>
      <c r="H20">
        <v>0</v>
      </c>
      <c r="I20">
        <v>0</v>
      </c>
      <c r="J20">
        <v>572560.54</v>
      </c>
      <c r="K20">
        <v>445783.77</v>
      </c>
      <c r="L20" t="s">
        <v>103</v>
      </c>
      <c r="M20" t="s">
        <v>104</v>
      </c>
      <c r="N20" s="3">
        <v>45907</v>
      </c>
      <c r="O20">
        <v>19</v>
      </c>
      <c r="P20">
        <v>66</v>
      </c>
      <c r="Q20">
        <v>-47</v>
      </c>
      <c r="R20" t="s">
        <v>105</v>
      </c>
    </row>
    <row r="21" spans="1:18">
      <c r="A21" t="s">
        <v>24</v>
      </c>
      <c r="B21" s="3">
        <v>45842</v>
      </c>
      <c r="C21">
        <v>7.81</v>
      </c>
      <c r="D21">
        <v>8.08</v>
      </c>
      <c r="E21">
        <v>7.65</v>
      </c>
      <c r="F21">
        <v>7.72</v>
      </c>
      <c r="G21">
        <v>7.82</v>
      </c>
      <c r="H21">
        <v>-0.1</v>
      </c>
      <c r="I21">
        <v>-1.2788</v>
      </c>
      <c r="J21">
        <v>699697.22</v>
      </c>
      <c r="K21">
        <v>546310.511</v>
      </c>
      <c r="L21" t="s">
        <v>103</v>
      </c>
      <c r="M21" t="s">
        <v>104</v>
      </c>
      <c r="N21" s="3">
        <v>45907</v>
      </c>
      <c r="O21">
        <v>20</v>
      </c>
      <c r="P21">
        <v>66</v>
      </c>
      <c r="Q21">
        <v>-46</v>
      </c>
      <c r="R21" t="s">
        <v>105</v>
      </c>
    </row>
    <row r="22" spans="1:18">
      <c r="A22" t="s">
        <v>24</v>
      </c>
      <c r="B22" s="3">
        <v>45845</v>
      </c>
      <c r="C22">
        <v>7.57</v>
      </c>
      <c r="D22">
        <v>7.72</v>
      </c>
      <c r="E22">
        <v>7.48</v>
      </c>
      <c r="F22">
        <v>7.49</v>
      </c>
      <c r="G22">
        <v>7.72</v>
      </c>
      <c r="H22">
        <v>-0.23</v>
      </c>
      <c r="I22">
        <v>-2.9793</v>
      </c>
      <c r="J22">
        <v>544375.22</v>
      </c>
      <c r="K22">
        <v>410279.871</v>
      </c>
      <c r="L22" t="s">
        <v>103</v>
      </c>
      <c r="M22" t="s">
        <v>104</v>
      </c>
      <c r="N22" s="3">
        <v>45907</v>
      </c>
      <c r="O22">
        <v>21</v>
      </c>
      <c r="P22">
        <v>66</v>
      </c>
      <c r="Q22">
        <v>-45</v>
      </c>
      <c r="R22" t="s">
        <v>105</v>
      </c>
    </row>
    <row r="23" spans="1:18">
      <c r="A23" t="s">
        <v>24</v>
      </c>
      <c r="B23" s="3">
        <v>45846</v>
      </c>
      <c r="C23">
        <v>7.48</v>
      </c>
      <c r="D23">
        <v>7.56</v>
      </c>
      <c r="E23">
        <v>7.44</v>
      </c>
      <c r="F23">
        <v>7.53</v>
      </c>
      <c r="G23">
        <v>7.49</v>
      </c>
      <c r="H23">
        <v>0.04</v>
      </c>
      <c r="I23">
        <v>0.534</v>
      </c>
      <c r="J23">
        <v>374779.65</v>
      </c>
      <c r="K23">
        <v>281127.835</v>
      </c>
      <c r="L23" t="s">
        <v>103</v>
      </c>
      <c r="M23" t="s">
        <v>104</v>
      </c>
      <c r="N23" s="3">
        <v>45907</v>
      </c>
      <c r="O23">
        <v>22</v>
      </c>
      <c r="P23">
        <v>66</v>
      </c>
      <c r="Q23">
        <v>-44</v>
      </c>
      <c r="R23" t="s">
        <v>105</v>
      </c>
    </row>
    <row r="24" spans="1:18">
      <c r="A24" t="s">
        <v>24</v>
      </c>
      <c r="B24" s="3">
        <v>45847</v>
      </c>
      <c r="C24">
        <v>7.51</v>
      </c>
      <c r="D24">
        <v>7.55</v>
      </c>
      <c r="E24">
        <v>7.31</v>
      </c>
      <c r="F24">
        <v>7.35</v>
      </c>
      <c r="G24">
        <v>7.53</v>
      </c>
      <c r="H24">
        <v>-0.18</v>
      </c>
      <c r="I24">
        <v>-2.3904</v>
      </c>
      <c r="J24">
        <v>470901.4</v>
      </c>
      <c r="K24">
        <v>348984.896</v>
      </c>
      <c r="L24" t="s">
        <v>103</v>
      </c>
      <c r="M24" t="s">
        <v>104</v>
      </c>
      <c r="N24" s="3">
        <v>45907</v>
      </c>
      <c r="O24">
        <v>23</v>
      </c>
      <c r="P24">
        <v>66</v>
      </c>
      <c r="Q24">
        <v>-43</v>
      </c>
      <c r="R24" t="s">
        <v>105</v>
      </c>
    </row>
    <row r="25" spans="1:18">
      <c r="A25" t="s">
        <v>24</v>
      </c>
      <c r="B25" s="3">
        <v>45848</v>
      </c>
      <c r="C25">
        <v>7.35</v>
      </c>
      <c r="D25">
        <v>7.52</v>
      </c>
      <c r="E25">
        <v>7.35</v>
      </c>
      <c r="F25">
        <v>7.39</v>
      </c>
      <c r="G25">
        <v>7.35</v>
      </c>
      <c r="H25">
        <v>0.04</v>
      </c>
      <c r="I25">
        <v>0.5442</v>
      </c>
      <c r="J25">
        <v>352491.45</v>
      </c>
      <c r="K25">
        <v>261216.877</v>
      </c>
      <c r="L25" t="s">
        <v>103</v>
      </c>
      <c r="M25" t="s">
        <v>104</v>
      </c>
      <c r="N25" s="3">
        <v>45907</v>
      </c>
      <c r="O25">
        <v>24</v>
      </c>
      <c r="P25">
        <v>66</v>
      </c>
      <c r="Q25">
        <v>-42</v>
      </c>
      <c r="R25" t="s">
        <v>105</v>
      </c>
    </row>
    <row r="26" spans="1:18">
      <c r="A26" t="s">
        <v>24</v>
      </c>
      <c r="B26" s="3">
        <v>45849</v>
      </c>
      <c r="C26">
        <v>7.39</v>
      </c>
      <c r="D26">
        <v>7.6</v>
      </c>
      <c r="E26">
        <v>7.3</v>
      </c>
      <c r="F26">
        <v>7.48</v>
      </c>
      <c r="G26">
        <v>7.39</v>
      </c>
      <c r="H26">
        <v>0.09</v>
      </c>
      <c r="I26">
        <v>1.2179</v>
      </c>
      <c r="J26">
        <v>462530.36</v>
      </c>
      <c r="K26">
        <v>345602.496</v>
      </c>
      <c r="L26" t="s">
        <v>103</v>
      </c>
      <c r="M26" t="s">
        <v>104</v>
      </c>
      <c r="N26" s="3">
        <v>45907</v>
      </c>
      <c r="O26">
        <v>25</v>
      </c>
      <c r="P26">
        <v>66</v>
      </c>
      <c r="Q26">
        <v>-41</v>
      </c>
      <c r="R26" t="s">
        <v>105</v>
      </c>
    </row>
    <row r="27" spans="1:18">
      <c r="A27" t="s">
        <v>24</v>
      </c>
      <c r="B27" s="3">
        <v>45852</v>
      </c>
      <c r="C27">
        <v>7.45</v>
      </c>
      <c r="D27">
        <v>7.5</v>
      </c>
      <c r="E27">
        <v>7.37</v>
      </c>
      <c r="F27">
        <v>7.48</v>
      </c>
      <c r="G27">
        <v>7.48</v>
      </c>
      <c r="H27">
        <v>0</v>
      </c>
      <c r="I27">
        <v>0</v>
      </c>
      <c r="J27">
        <v>237524.34</v>
      </c>
      <c r="K27">
        <v>176897.306</v>
      </c>
      <c r="L27" t="s">
        <v>103</v>
      </c>
      <c r="M27" t="s">
        <v>104</v>
      </c>
      <c r="N27" s="3">
        <v>45907</v>
      </c>
      <c r="O27">
        <v>26</v>
      </c>
      <c r="P27">
        <v>66</v>
      </c>
      <c r="Q27">
        <v>-40</v>
      </c>
      <c r="R27" t="s">
        <v>105</v>
      </c>
    </row>
    <row r="28" spans="1:18">
      <c r="A28" t="s">
        <v>24</v>
      </c>
      <c r="B28" s="3">
        <v>45853</v>
      </c>
      <c r="C28">
        <v>7.42</v>
      </c>
      <c r="D28">
        <v>7.46</v>
      </c>
      <c r="E28">
        <v>7.26</v>
      </c>
      <c r="F28">
        <v>7.28</v>
      </c>
      <c r="G28">
        <v>7.48</v>
      </c>
      <c r="H28">
        <v>-0.2</v>
      </c>
      <c r="I28">
        <v>-2.6738</v>
      </c>
      <c r="J28">
        <v>373808.7</v>
      </c>
      <c r="K28">
        <v>273883.243</v>
      </c>
      <c r="L28" t="s">
        <v>103</v>
      </c>
      <c r="M28" t="s">
        <v>104</v>
      </c>
      <c r="N28" s="3">
        <v>45907</v>
      </c>
      <c r="O28">
        <v>27</v>
      </c>
      <c r="P28">
        <v>66</v>
      </c>
      <c r="Q28">
        <v>-39</v>
      </c>
      <c r="R28" t="s">
        <v>105</v>
      </c>
    </row>
    <row r="29" spans="1:18">
      <c r="A29" t="s">
        <v>24</v>
      </c>
      <c r="B29" s="3">
        <v>45854</v>
      </c>
      <c r="C29">
        <v>7.23</v>
      </c>
      <c r="D29">
        <v>7.47</v>
      </c>
      <c r="E29">
        <v>7.23</v>
      </c>
      <c r="F29">
        <v>7.31</v>
      </c>
      <c r="G29">
        <v>7.28</v>
      </c>
      <c r="H29">
        <v>0.03</v>
      </c>
      <c r="I29">
        <v>0.4121</v>
      </c>
      <c r="J29">
        <v>302817.2</v>
      </c>
      <c r="K29">
        <v>222345.455</v>
      </c>
      <c r="L29" t="s">
        <v>103</v>
      </c>
      <c r="M29" t="s">
        <v>104</v>
      </c>
      <c r="N29" s="3">
        <v>45907</v>
      </c>
      <c r="O29">
        <v>28</v>
      </c>
      <c r="P29">
        <v>66</v>
      </c>
      <c r="Q29">
        <v>-38</v>
      </c>
      <c r="R29" t="s">
        <v>105</v>
      </c>
    </row>
    <row r="30" spans="1:18">
      <c r="A30" t="s">
        <v>24</v>
      </c>
      <c r="B30" s="3">
        <v>45855</v>
      </c>
      <c r="C30">
        <v>7.27</v>
      </c>
      <c r="D30">
        <v>7.33</v>
      </c>
      <c r="E30">
        <v>7.22</v>
      </c>
      <c r="F30">
        <v>7.28</v>
      </c>
      <c r="G30">
        <v>7.31</v>
      </c>
      <c r="H30">
        <v>-0.03</v>
      </c>
      <c r="I30">
        <v>-0.4104</v>
      </c>
      <c r="J30">
        <v>318050</v>
      </c>
      <c r="K30">
        <v>230957.548</v>
      </c>
      <c r="L30" t="s">
        <v>103</v>
      </c>
      <c r="M30" t="s">
        <v>104</v>
      </c>
      <c r="N30" s="3">
        <v>45907</v>
      </c>
      <c r="O30">
        <v>29</v>
      </c>
      <c r="P30">
        <v>66</v>
      </c>
      <c r="Q30">
        <v>-37</v>
      </c>
      <c r="R30" t="s">
        <v>105</v>
      </c>
    </row>
    <row r="31" spans="1:18">
      <c r="A31" t="s">
        <v>24</v>
      </c>
      <c r="B31" s="3">
        <v>45856</v>
      </c>
      <c r="C31">
        <v>7.3</v>
      </c>
      <c r="D31">
        <v>7.41</v>
      </c>
      <c r="E31">
        <v>7.2</v>
      </c>
      <c r="F31">
        <v>7.27</v>
      </c>
      <c r="G31">
        <v>7.28</v>
      </c>
      <c r="H31">
        <v>-0.01</v>
      </c>
      <c r="I31">
        <v>-0.1374</v>
      </c>
      <c r="J31">
        <v>344066</v>
      </c>
      <c r="K31">
        <v>250686.205</v>
      </c>
      <c r="L31" t="s">
        <v>103</v>
      </c>
      <c r="M31" t="s">
        <v>104</v>
      </c>
      <c r="N31" s="3">
        <v>45907</v>
      </c>
      <c r="O31">
        <v>30</v>
      </c>
      <c r="P31">
        <v>66</v>
      </c>
      <c r="Q31">
        <v>-36</v>
      </c>
      <c r="R31" t="s">
        <v>105</v>
      </c>
    </row>
    <row r="32" spans="1:18">
      <c r="A32" t="s">
        <v>24</v>
      </c>
      <c r="B32" s="3">
        <v>45859</v>
      </c>
      <c r="C32">
        <v>7.28</v>
      </c>
      <c r="D32">
        <v>7.42</v>
      </c>
      <c r="E32">
        <v>7.26</v>
      </c>
      <c r="F32">
        <v>7.39</v>
      </c>
      <c r="G32">
        <v>7.27</v>
      </c>
      <c r="H32">
        <v>0.12</v>
      </c>
      <c r="I32">
        <v>1.6506</v>
      </c>
      <c r="J32">
        <v>379999.91</v>
      </c>
      <c r="K32">
        <v>279953.944</v>
      </c>
      <c r="L32" t="s">
        <v>103</v>
      </c>
      <c r="M32" t="s">
        <v>104</v>
      </c>
      <c r="N32" s="3">
        <v>45907</v>
      </c>
      <c r="O32">
        <v>31</v>
      </c>
      <c r="P32">
        <v>66</v>
      </c>
      <c r="Q32">
        <v>-35</v>
      </c>
      <c r="R32" t="s">
        <v>105</v>
      </c>
    </row>
    <row r="33" spans="1:18">
      <c r="A33" t="s">
        <v>24</v>
      </c>
      <c r="B33" s="3">
        <v>45860</v>
      </c>
      <c r="C33">
        <v>7.38</v>
      </c>
      <c r="D33">
        <v>7.44</v>
      </c>
      <c r="E33">
        <v>7.3</v>
      </c>
      <c r="F33">
        <v>7.37</v>
      </c>
      <c r="G33">
        <v>7.39</v>
      </c>
      <c r="H33">
        <v>-0.02</v>
      </c>
      <c r="I33">
        <v>-0.2706</v>
      </c>
      <c r="J33">
        <v>366447.7</v>
      </c>
      <c r="K33">
        <v>269468.929</v>
      </c>
      <c r="L33" t="s">
        <v>103</v>
      </c>
      <c r="M33" t="s">
        <v>104</v>
      </c>
      <c r="N33" s="3">
        <v>45907</v>
      </c>
      <c r="O33">
        <v>32</v>
      </c>
      <c r="P33">
        <v>66</v>
      </c>
      <c r="Q33">
        <v>-34</v>
      </c>
      <c r="R33" t="s">
        <v>105</v>
      </c>
    </row>
    <row r="34" spans="1:18">
      <c r="A34" t="s">
        <v>24</v>
      </c>
      <c r="B34" s="3">
        <v>45861</v>
      </c>
      <c r="C34">
        <v>7.33</v>
      </c>
      <c r="D34">
        <v>7.37</v>
      </c>
      <c r="E34">
        <v>7.2</v>
      </c>
      <c r="F34">
        <v>7.22</v>
      </c>
      <c r="G34">
        <v>7.37</v>
      </c>
      <c r="H34">
        <v>-0.15</v>
      </c>
      <c r="I34">
        <v>-2.0353</v>
      </c>
      <c r="J34">
        <v>364612.4</v>
      </c>
      <c r="K34">
        <v>264596.074</v>
      </c>
      <c r="L34" t="s">
        <v>103</v>
      </c>
      <c r="M34" t="s">
        <v>104</v>
      </c>
      <c r="N34" s="3">
        <v>45907</v>
      </c>
      <c r="O34">
        <v>33</v>
      </c>
      <c r="P34">
        <v>66</v>
      </c>
      <c r="Q34">
        <v>-33</v>
      </c>
      <c r="R34" t="s">
        <v>105</v>
      </c>
    </row>
    <row r="35" spans="1:18">
      <c r="A35" t="s">
        <v>24</v>
      </c>
      <c r="B35" s="3">
        <v>45862</v>
      </c>
      <c r="C35">
        <v>7.24</v>
      </c>
      <c r="D35">
        <v>7.27</v>
      </c>
      <c r="E35">
        <v>7.18</v>
      </c>
      <c r="F35">
        <v>7.25</v>
      </c>
      <c r="G35">
        <v>7.22</v>
      </c>
      <c r="H35">
        <v>0.03</v>
      </c>
      <c r="I35">
        <v>0.4155</v>
      </c>
      <c r="J35">
        <v>262103</v>
      </c>
      <c r="K35">
        <v>189396.174</v>
      </c>
      <c r="L35" t="s">
        <v>103</v>
      </c>
      <c r="M35" t="s">
        <v>104</v>
      </c>
      <c r="N35" s="3">
        <v>45907</v>
      </c>
      <c r="O35">
        <v>34</v>
      </c>
      <c r="P35">
        <v>66</v>
      </c>
      <c r="Q35">
        <v>-32</v>
      </c>
      <c r="R35" t="s">
        <v>105</v>
      </c>
    </row>
    <row r="36" spans="1:18">
      <c r="A36" t="s">
        <v>24</v>
      </c>
      <c r="B36" s="3">
        <v>45863</v>
      </c>
      <c r="C36">
        <v>7.26</v>
      </c>
      <c r="D36">
        <v>7.74</v>
      </c>
      <c r="E36">
        <v>7.16</v>
      </c>
      <c r="F36">
        <v>7.59</v>
      </c>
      <c r="G36">
        <v>7.25</v>
      </c>
      <c r="H36">
        <v>0.34</v>
      </c>
      <c r="I36">
        <v>4.6897</v>
      </c>
      <c r="J36">
        <v>946140.15</v>
      </c>
      <c r="K36">
        <v>704506.432</v>
      </c>
      <c r="L36" t="s">
        <v>103</v>
      </c>
      <c r="M36" t="s">
        <v>104</v>
      </c>
      <c r="N36" s="3">
        <v>45907</v>
      </c>
      <c r="O36">
        <v>35</v>
      </c>
      <c r="P36">
        <v>66</v>
      </c>
      <c r="Q36">
        <v>-31</v>
      </c>
      <c r="R36" t="s">
        <v>105</v>
      </c>
    </row>
    <row r="37" spans="1:18">
      <c r="A37" t="s">
        <v>24</v>
      </c>
      <c r="B37" s="3">
        <v>45866</v>
      </c>
      <c r="C37">
        <v>7.6</v>
      </c>
      <c r="D37">
        <v>7.64</v>
      </c>
      <c r="E37">
        <v>7.44</v>
      </c>
      <c r="F37">
        <v>7.51</v>
      </c>
      <c r="G37">
        <v>7.59</v>
      </c>
      <c r="H37">
        <v>-0.08</v>
      </c>
      <c r="I37">
        <v>-1.054</v>
      </c>
      <c r="J37">
        <v>436722.32</v>
      </c>
      <c r="K37">
        <v>327662.182</v>
      </c>
      <c r="L37" t="s">
        <v>103</v>
      </c>
      <c r="M37" t="s">
        <v>104</v>
      </c>
      <c r="N37" s="3">
        <v>45907</v>
      </c>
      <c r="O37">
        <v>36</v>
      </c>
      <c r="P37">
        <v>66</v>
      </c>
      <c r="Q37">
        <v>-30</v>
      </c>
      <c r="R37" t="s">
        <v>105</v>
      </c>
    </row>
    <row r="38" spans="1:18">
      <c r="A38" t="s">
        <v>24</v>
      </c>
      <c r="B38" s="3">
        <v>45867</v>
      </c>
      <c r="C38">
        <v>7.51</v>
      </c>
      <c r="D38">
        <v>7.51</v>
      </c>
      <c r="E38">
        <v>7.34</v>
      </c>
      <c r="F38">
        <v>7.43</v>
      </c>
      <c r="G38">
        <v>7.51</v>
      </c>
      <c r="H38">
        <v>-0.08</v>
      </c>
      <c r="I38">
        <v>-1.0652</v>
      </c>
      <c r="J38">
        <v>351487.71</v>
      </c>
      <c r="K38">
        <v>259967.703</v>
      </c>
      <c r="L38" t="s">
        <v>103</v>
      </c>
      <c r="M38" t="s">
        <v>104</v>
      </c>
      <c r="N38" s="3">
        <v>45907</v>
      </c>
      <c r="O38">
        <v>37</v>
      </c>
      <c r="P38">
        <v>66</v>
      </c>
      <c r="Q38">
        <v>-29</v>
      </c>
      <c r="R38" t="s">
        <v>105</v>
      </c>
    </row>
    <row r="39" spans="1:18">
      <c r="A39" t="s">
        <v>24</v>
      </c>
      <c r="B39" s="3">
        <v>45868</v>
      </c>
      <c r="C39">
        <v>7.43</v>
      </c>
      <c r="D39">
        <v>7.44</v>
      </c>
      <c r="E39">
        <v>7.26</v>
      </c>
      <c r="F39">
        <v>7.31</v>
      </c>
      <c r="G39">
        <v>7.43</v>
      </c>
      <c r="H39">
        <v>-0.12</v>
      </c>
      <c r="I39">
        <v>-1.6151</v>
      </c>
      <c r="J39">
        <v>284783</v>
      </c>
      <c r="K39">
        <v>208818.516</v>
      </c>
      <c r="L39" t="s">
        <v>103</v>
      </c>
      <c r="M39" t="s">
        <v>104</v>
      </c>
      <c r="N39" s="3">
        <v>45907</v>
      </c>
      <c r="O39">
        <v>38</v>
      </c>
      <c r="P39">
        <v>66</v>
      </c>
      <c r="Q39">
        <v>-28</v>
      </c>
      <c r="R39" t="s">
        <v>105</v>
      </c>
    </row>
    <row r="40" spans="1:18">
      <c r="A40" t="s">
        <v>24</v>
      </c>
      <c r="B40" s="3">
        <v>45869</v>
      </c>
      <c r="C40">
        <v>7.24</v>
      </c>
      <c r="D40">
        <v>8.04</v>
      </c>
      <c r="E40">
        <v>7.23</v>
      </c>
      <c r="F40">
        <v>7.7</v>
      </c>
      <c r="G40">
        <v>7.31</v>
      </c>
      <c r="H40">
        <v>0.39</v>
      </c>
      <c r="I40">
        <v>5.3352</v>
      </c>
      <c r="J40">
        <v>1383471.76</v>
      </c>
      <c r="K40">
        <v>1073534.9</v>
      </c>
      <c r="L40" t="s">
        <v>103</v>
      </c>
      <c r="M40" t="s">
        <v>104</v>
      </c>
      <c r="N40" s="3">
        <v>45907</v>
      </c>
      <c r="O40">
        <v>39</v>
      </c>
      <c r="P40">
        <v>66</v>
      </c>
      <c r="Q40">
        <v>-27</v>
      </c>
      <c r="R40" t="s">
        <v>105</v>
      </c>
    </row>
    <row r="41" spans="1:18">
      <c r="A41" t="s">
        <v>24</v>
      </c>
      <c r="B41" s="3">
        <v>45870</v>
      </c>
      <c r="C41">
        <v>7.58</v>
      </c>
      <c r="D41">
        <v>7.77</v>
      </c>
      <c r="E41">
        <v>7.51</v>
      </c>
      <c r="F41">
        <v>7.73</v>
      </c>
      <c r="G41">
        <v>7.7</v>
      </c>
      <c r="H41">
        <v>0.03</v>
      </c>
      <c r="I41">
        <v>0.3896</v>
      </c>
      <c r="J41">
        <v>914648.6</v>
      </c>
      <c r="K41">
        <v>699175.902</v>
      </c>
      <c r="L41" t="s">
        <v>103</v>
      </c>
      <c r="M41" t="s">
        <v>104</v>
      </c>
      <c r="N41" s="3">
        <v>45907</v>
      </c>
      <c r="O41">
        <v>40</v>
      </c>
      <c r="P41">
        <v>66</v>
      </c>
      <c r="Q41">
        <v>-26</v>
      </c>
      <c r="R41" t="s">
        <v>105</v>
      </c>
    </row>
    <row r="42" spans="1:18">
      <c r="A42" t="s">
        <v>24</v>
      </c>
      <c r="B42" s="3">
        <v>45873</v>
      </c>
      <c r="C42">
        <v>7.69</v>
      </c>
      <c r="D42">
        <v>8.23</v>
      </c>
      <c r="E42">
        <v>7.62</v>
      </c>
      <c r="F42">
        <v>8.11</v>
      </c>
      <c r="G42">
        <v>7.73</v>
      </c>
      <c r="H42">
        <v>0.38</v>
      </c>
      <c r="I42">
        <v>4.9159</v>
      </c>
      <c r="J42">
        <v>1181147.31</v>
      </c>
      <c r="K42">
        <v>935255.246</v>
      </c>
      <c r="L42" t="s">
        <v>103</v>
      </c>
      <c r="M42" t="s">
        <v>104</v>
      </c>
      <c r="N42" s="3">
        <v>45907</v>
      </c>
      <c r="O42">
        <v>41</v>
      </c>
      <c r="P42">
        <v>66</v>
      </c>
      <c r="Q42">
        <v>-25</v>
      </c>
      <c r="R42" t="s">
        <v>105</v>
      </c>
    </row>
    <row r="43" spans="1:18">
      <c r="A43" t="s">
        <v>24</v>
      </c>
      <c r="B43" s="3">
        <v>45874</v>
      </c>
      <c r="C43">
        <v>8.02</v>
      </c>
      <c r="D43">
        <v>8.16</v>
      </c>
      <c r="E43">
        <v>7.93</v>
      </c>
      <c r="F43">
        <v>8.07</v>
      </c>
      <c r="G43">
        <v>8.11</v>
      </c>
      <c r="H43">
        <v>-0.04</v>
      </c>
      <c r="I43">
        <v>-0.4932</v>
      </c>
      <c r="J43">
        <v>887066.28</v>
      </c>
      <c r="K43">
        <v>712715.097</v>
      </c>
      <c r="L43" t="s">
        <v>103</v>
      </c>
      <c r="M43" t="s">
        <v>104</v>
      </c>
      <c r="N43" s="3">
        <v>45907</v>
      </c>
      <c r="O43">
        <v>42</v>
      </c>
      <c r="P43">
        <v>66</v>
      </c>
      <c r="Q43">
        <v>-24</v>
      </c>
      <c r="R43" t="s">
        <v>105</v>
      </c>
    </row>
    <row r="44" spans="1:18">
      <c r="A44" t="s">
        <v>24</v>
      </c>
      <c r="B44" s="3">
        <v>45875</v>
      </c>
      <c r="C44">
        <v>8.08</v>
      </c>
      <c r="D44">
        <v>8.19</v>
      </c>
      <c r="E44">
        <v>8.04</v>
      </c>
      <c r="F44">
        <v>8.07</v>
      </c>
      <c r="G44">
        <v>8.07</v>
      </c>
      <c r="H44">
        <v>0</v>
      </c>
      <c r="I44">
        <v>0</v>
      </c>
      <c r="J44">
        <v>636935.03</v>
      </c>
      <c r="K44">
        <v>515194.435</v>
      </c>
      <c r="L44" t="s">
        <v>103</v>
      </c>
      <c r="M44" t="s">
        <v>104</v>
      </c>
      <c r="N44" s="3">
        <v>45907</v>
      </c>
      <c r="O44">
        <v>43</v>
      </c>
      <c r="P44">
        <v>66</v>
      </c>
      <c r="Q44">
        <v>-23</v>
      </c>
      <c r="R44" t="s">
        <v>105</v>
      </c>
    </row>
    <row r="45" spans="1:18">
      <c r="A45" t="s">
        <v>24</v>
      </c>
      <c r="B45" s="3">
        <v>45876</v>
      </c>
      <c r="C45">
        <v>8.06</v>
      </c>
      <c r="D45">
        <v>8.39</v>
      </c>
      <c r="E45">
        <v>8.04</v>
      </c>
      <c r="F45">
        <v>8.25</v>
      </c>
      <c r="G45">
        <v>8.07</v>
      </c>
      <c r="H45">
        <v>0.18</v>
      </c>
      <c r="I45">
        <v>2.2305</v>
      </c>
      <c r="J45">
        <v>1109037.56</v>
      </c>
      <c r="K45">
        <v>910859.573</v>
      </c>
      <c r="L45" t="s">
        <v>103</v>
      </c>
      <c r="M45" t="s">
        <v>104</v>
      </c>
      <c r="N45" s="3">
        <v>45907</v>
      </c>
      <c r="O45">
        <v>44</v>
      </c>
      <c r="P45">
        <v>66</v>
      </c>
      <c r="Q45">
        <v>-22</v>
      </c>
      <c r="R45" t="s">
        <v>105</v>
      </c>
    </row>
    <row r="46" spans="1:18">
      <c r="A46" t="s">
        <v>24</v>
      </c>
      <c r="B46" s="3">
        <v>45877</v>
      </c>
      <c r="C46">
        <v>8.1</v>
      </c>
      <c r="D46">
        <v>8.23</v>
      </c>
      <c r="E46">
        <v>8.05</v>
      </c>
      <c r="F46">
        <v>8.15</v>
      </c>
      <c r="G46">
        <v>8.25</v>
      </c>
      <c r="H46">
        <v>-0.1</v>
      </c>
      <c r="I46">
        <v>-1.2121</v>
      </c>
      <c r="J46">
        <v>725945.31</v>
      </c>
      <c r="K46">
        <v>591050.106</v>
      </c>
      <c r="L46" t="s">
        <v>103</v>
      </c>
      <c r="M46" t="s">
        <v>104</v>
      </c>
      <c r="N46" s="3">
        <v>45907</v>
      </c>
      <c r="O46">
        <v>45</v>
      </c>
      <c r="P46">
        <v>66</v>
      </c>
      <c r="Q46">
        <v>-21</v>
      </c>
      <c r="R46" t="s">
        <v>105</v>
      </c>
    </row>
    <row r="47" spans="1:18">
      <c r="A47" t="s">
        <v>24</v>
      </c>
      <c r="B47" s="3">
        <v>45880</v>
      </c>
      <c r="C47">
        <v>8.15</v>
      </c>
      <c r="D47">
        <v>8.16</v>
      </c>
      <c r="E47">
        <v>8.07</v>
      </c>
      <c r="F47">
        <v>8.1</v>
      </c>
      <c r="G47">
        <v>8.15</v>
      </c>
      <c r="H47">
        <v>-0.05</v>
      </c>
      <c r="I47">
        <v>-0.6135</v>
      </c>
      <c r="J47">
        <v>553364.7</v>
      </c>
      <c r="K47">
        <v>448632.556</v>
      </c>
      <c r="L47" t="s">
        <v>103</v>
      </c>
      <c r="M47" t="s">
        <v>104</v>
      </c>
      <c r="N47" s="3">
        <v>45907</v>
      </c>
      <c r="O47">
        <v>46</v>
      </c>
      <c r="P47">
        <v>66</v>
      </c>
      <c r="Q47">
        <v>-20</v>
      </c>
      <c r="R47" t="s">
        <v>105</v>
      </c>
    </row>
    <row r="48" spans="1:18">
      <c r="A48" t="s">
        <v>24</v>
      </c>
      <c r="B48" s="3">
        <v>45881</v>
      </c>
      <c r="C48">
        <v>8.07</v>
      </c>
      <c r="D48">
        <v>8.19</v>
      </c>
      <c r="E48">
        <v>8.03</v>
      </c>
      <c r="F48">
        <v>8.06</v>
      </c>
      <c r="G48">
        <v>8.1</v>
      </c>
      <c r="H48">
        <v>-0.04</v>
      </c>
      <c r="I48">
        <v>-0.4938</v>
      </c>
      <c r="J48">
        <v>536348.8</v>
      </c>
      <c r="K48">
        <v>433340.125</v>
      </c>
      <c r="L48" t="s">
        <v>103</v>
      </c>
      <c r="M48" t="s">
        <v>104</v>
      </c>
      <c r="N48" s="3">
        <v>45907</v>
      </c>
      <c r="O48">
        <v>47</v>
      </c>
      <c r="P48">
        <v>66</v>
      </c>
      <c r="Q48">
        <v>-19</v>
      </c>
      <c r="R48" t="s">
        <v>105</v>
      </c>
    </row>
    <row r="49" spans="1:18">
      <c r="A49" t="s">
        <v>24</v>
      </c>
      <c r="B49" s="3">
        <v>45882</v>
      </c>
      <c r="C49">
        <v>8.04</v>
      </c>
      <c r="D49">
        <v>8.15</v>
      </c>
      <c r="E49">
        <v>7.95</v>
      </c>
      <c r="F49">
        <v>7.99</v>
      </c>
      <c r="G49">
        <v>8.06</v>
      </c>
      <c r="H49">
        <v>-0.07</v>
      </c>
      <c r="I49">
        <v>-0.8685</v>
      </c>
      <c r="J49">
        <v>632526.71</v>
      </c>
      <c r="K49">
        <v>508788.688</v>
      </c>
      <c r="L49" t="s">
        <v>103</v>
      </c>
      <c r="M49" t="s">
        <v>104</v>
      </c>
      <c r="N49" s="3">
        <v>45907</v>
      </c>
      <c r="O49">
        <v>48</v>
      </c>
      <c r="P49">
        <v>66</v>
      </c>
      <c r="Q49">
        <v>-18</v>
      </c>
      <c r="R49" t="s">
        <v>105</v>
      </c>
    </row>
    <row r="50" spans="1:18">
      <c r="A50" t="s">
        <v>24</v>
      </c>
      <c r="B50" s="3">
        <v>45883</v>
      </c>
      <c r="C50">
        <v>7.97</v>
      </c>
      <c r="D50">
        <v>8.24</v>
      </c>
      <c r="E50">
        <v>7.76</v>
      </c>
      <c r="F50">
        <v>7.76</v>
      </c>
      <c r="G50">
        <v>7.99</v>
      </c>
      <c r="H50">
        <v>-0.23</v>
      </c>
      <c r="I50">
        <v>-2.8786</v>
      </c>
      <c r="J50">
        <v>814039.24</v>
      </c>
      <c r="K50">
        <v>647763.298</v>
      </c>
      <c r="L50" t="s">
        <v>103</v>
      </c>
      <c r="M50" t="s">
        <v>104</v>
      </c>
      <c r="N50" s="3">
        <v>45907</v>
      </c>
      <c r="O50">
        <v>49</v>
      </c>
      <c r="P50">
        <v>66</v>
      </c>
      <c r="Q50">
        <v>-17</v>
      </c>
      <c r="R50" t="s">
        <v>105</v>
      </c>
    </row>
    <row r="51" spans="1:18">
      <c r="A51" t="s">
        <v>24</v>
      </c>
      <c r="B51" s="3">
        <v>45884</v>
      </c>
      <c r="C51">
        <v>7.66</v>
      </c>
      <c r="D51">
        <v>8.06</v>
      </c>
      <c r="E51">
        <v>7.66</v>
      </c>
      <c r="F51">
        <v>8.03</v>
      </c>
      <c r="G51">
        <v>7.76</v>
      </c>
      <c r="H51">
        <v>0.27</v>
      </c>
      <c r="I51">
        <v>3.4794</v>
      </c>
      <c r="J51">
        <v>745475.39</v>
      </c>
      <c r="K51">
        <v>591039.148</v>
      </c>
      <c r="L51" t="s">
        <v>103</v>
      </c>
      <c r="M51" t="s">
        <v>104</v>
      </c>
      <c r="N51" s="3">
        <v>45907</v>
      </c>
      <c r="O51">
        <v>50</v>
      </c>
      <c r="P51">
        <v>66</v>
      </c>
      <c r="Q51">
        <v>-16</v>
      </c>
      <c r="R51" t="s">
        <v>105</v>
      </c>
    </row>
    <row r="52" spans="1:18">
      <c r="A52" t="s">
        <v>24</v>
      </c>
      <c r="B52" s="3">
        <v>45887</v>
      </c>
      <c r="C52">
        <v>7.99</v>
      </c>
      <c r="D52">
        <v>8.09</v>
      </c>
      <c r="E52">
        <v>7.95</v>
      </c>
      <c r="F52">
        <v>8.01</v>
      </c>
      <c r="G52">
        <v>8.03</v>
      </c>
      <c r="H52">
        <v>-0.02</v>
      </c>
      <c r="I52">
        <v>-0.2491</v>
      </c>
      <c r="J52">
        <v>600435.96</v>
      </c>
      <c r="K52">
        <v>481959.411</v>
      </c>
      <c r="L52" t="s">
        <v>103</v>
      </c>
      <c r="M52" t="s">
        <v>104</v>
      </c>
      <c r="N52" s="3">
        <v>45907</v>
      </c>
      <c r="O52">
        <v>51</v>
      </c>
      <c r="P52">
        <v>66</v>
      </c>
      <c r="Q52">
        <v>-15</v>
      </c>
      <c r="R52" t="s">
        <v>105</v>
      </c>
    </row>
    <row r="53" spans="1:18">
      <c r="A53" t="s">
        <v>24</v>
      </c>
      <c r="B53" s="3">
        <v>45888</v>
      </c>
      <c r="C53">
        <v>7.99</v>
      </c>
      <c r="D53">
        <v>8.08</v>
      </c>
      <c r="E53">
        <v>7.92</v>
      </c>
      <c r="F53">
        <v>7.99</v>
      </c>
      <c r="G53">
        <v>8.01</v>
      </c>
      <c r="H53">
        <v>-0.02</v>
      </c>
      <c r="I53">
        <v>-0.2497</v>
      </c>
      <c r="J53">
        <v>450448.21</v>
      </c>
      <c r="K53">
        <v>360887.876</v>
      </c>
      <c r="L53" t="s">
        <v>103</v>
      </c>
      <c r="M53" t="s">
        <v>104</v>
      </c>
      <c r="N53" s="3">
        <v>45907</v>
      </c>
      <c r="O53">
        <v>52</v>
      </c>
      <c r="P53">
        <v>66</v>
      </c>
      <c r="Q53">
        <v>-14</v>
      </c>
      <c r="R53" t="s">
        <v>105</v>
      </c>
    </row>
    <row r="54" spans="1:18">
      <c r="A54" t="s">
        <v>24</v>
      </c>
      <c r="B54" s="3">
        <v>45889</v>
      </c>
      <c r="C54">
        <v>7.94</v>
      </c>
      <c r="D54">
        <v>8.02</v>
      </c>
      <c r="E54">
        <v>7.85</v>
      </c>
      <c r="F54">
        <v>7.99</v>
      </c>
      <c r="G54">
        <v>7.99</v>
      </c>
      <c r="H54">
        <v>0</v>
      </c>
      <c r="I54">
        <v>0</v>
      </c>
      <c r="J54">
        <v>462998.42</v>
      </c>
      <c r="K54">
        <v>367165.879</v>
      </c>
      <c r="L54" t="s">
        <v>103</v>
      </c>
      <c r="M54" t="s">
        <v>104</v>
      </c>
      <c r="N54" s="3">
        <v>45907</v>
      </c>
      <c r="O54">
        <v>53</v>
      </c>
      <c r="P54">
        <v>66</v>
      </c>
      <c r="Q54">
        <v>-13</v>
      </c>
      <c r="R54" t="s">
        <v>105</v>
      </c>
    </row>
    <row r="55" spans="1:18">
      <c r="A55" t="s">
        <v>24</v>
      </c>
      <c r="B55" s="3">
        <v>45890</v>
      </c>
      <c r="C55">
        <v>7.96</v>
      </c>
      <c r="D55">
        <v>8.05</v>
      </c>
      <c r="E55">
        <v>7.8</v>
      </c>
      <c r="F55">
        <v>7.84</v>
      </c>
      <c r="G55">
        <v>7.99</v>
      </c>
      <c r="H55">
        <v>-0.15</v>
      </c>
      <c r="I55">
        <v>-1.8773</v>
      </c>
      <c r="J55">
        <v>460518.8</v>
      </c>
      <c r="K55">
        <v>364071.462</v>
      </c>
      <c r="L55" t="s">
        <v>103</v>
      </c>
      <c r="M55" t="s">
        <v>104</v>
      </c>
      <c r="N55" s="3">
        <v>45907</v>
      </c>
      <c r="O55">
        <v>54</v>
      </c>
      <c r="P55">
        <v>66</v>
      </c>
      <c r="Q55">
        <v>-12</v>
      </c>
      <c r="R55" t="s">
        <v>105</v>
      </c>
    </row>
    <row r="56" spans="1:18">
      <c r="A56" t="s">
        <v>24</v>
      </c>
      <c r="B56" s="3">
        <v>45891</v>
      </c>
      <c r="C56">
        <v>8.03</v>
      </c>
      <c r="D56">
        <v>8.62</v>
      </c>
      <c r="E56">
        <v>8.03</v>
      </c>
      <c r="F56">
        <v>8.62</v>
      </c>
      <c r="G56">
        <v>7.84</v>
      </c>
      <c r="H56">
        <v>0.78</v>
      </c>
      <c r="I56">
        <v>9.949</v>
      </c>
      <c r="J56">
        <v>1465725.59</v>
      </c>
      <c r="K56">
        <v>1226619.81</v>
      </c>
      <c r="L56" t="s">
        <v>103</v>
      </c>
      <c r="M56" t="s">
        <v>104</v>
      </c>
      <c r="N56" s="3">
        <v>45907</v>
      </c>
      <c r="O56">
        <v>55</v>
      </c>
      <c r="P56">
        <v>66</v>
      </c>
      <c r="Q56">
        <v>-11</v>
      </c>
      <c r="R56" t="s">
        <v>105</v>
      </c>
    </row>
    <row r="57" spans="1:18">
      <c r="A57" t="s">
        <v>24</v>
      </c>
      <c r="B57" s="3">
        <v>45894</v>
      </c>
      <c r="C57">
        <v>9.48</v>
      </c>
      <c r="D57">
        <v>9.48</v>
      </c>
      <c r="E57">
        <v>8.72</v>
      </c>
      <c r="F57">
        <v>8.88</v>
      </c>
      <c r="G57">
        <v>8.62</v>
      </c>
      <c r="H57">
        <v>0.26</v>
      </c>
      <c r="I57">
        <v>3.0162</v>
      </c>
      <c r="J57">
        <v>2638199.34</v>
      </c>
      <c r="K57">
        <v>2381026.087</v>
      </c>
      <c r="L57" t="s">
        <v>103</v>
      </c>
      <c r="M57" t="s">
        <v>104</v>
      </c>
      <c r="N57" s="3">
        <v>45907</v>
      </c>
      <c r="O57">
        <v>56</v>
      </c>
      <c r="P57">
        <v>66</v>
      </c>
      <c r="Q57">
        <v>-10</v>
      </c>
      <c r="R57" t="s">
        <v>105</v>
      </c>
    </row>
    <row r="58" spans="1:18">
      <c r="A58" t="s">
        <v>24</v>
      </c>
      <c r="B58" s="3">
        <v>45895</v>
      </c>
      <c r="C58">
        <v>8.69</v>
      </c>
      <c r="D58">
        <v>9.77</v>
      </c>
      <c r="E58">
        <v>8.6</v>
      </c>
      <c r="F58">
        <v>9.77</v>
      </c>
      <c r="G58">
        <v>8.88</v>
      </c>
      <c r="H58">
        <v>0.89</v>
      </c>
      <c r="I58">
        <v>10.0225</v>
      </c>
      <c r="J58">
        <v>1970439.51</v>
      </c>
      <c r="K58">
        <v>1804294.16</v>
      </c>
      <c r="L58" t="s">
        <v>103</v>
      </c>
      <c r="M58" t="s">
        <v>104</v>
      </c>
      <c r="N58" s="3">
        <v>45907</v>
      </c>
      <c r="O58">
        <v>57</v>
      </c>
      <c r="P58">
        <v>66</v>
      </c>
      <c r="Q58">
        <v>-9</v>
      </c>
      <c r="R58" t="s">
        <v>105</v>
      </c>
    </row>
    <row r="59" spans="1:18">
      <c r="A59" t="s">
        <v>24</v>
      </c>
      <c r="B59" s="3">
        <v>45896</v>
      </c>
      <c r="C59">
        <v>9.81</v>
      </c>
      <c r="D59">
        <v>10.5</v>
      </c>
      <c r="E59">
        <v>9.35</v>
      </c>
      <c r="F59">
        <v>9.38</v>
      </c>
      <c r="G59">
        <v>9.77</v>
      </c>
      <c r="H59">
        <v>-0.39</v>
      </c>
      <c r="I59">
        <v>-3.9918</v>
      </c>
      <c r="J59">
        <v>2747906.36</v>
      </c>
      <c r="K59">
        <v>2668402.401</v>
      </c>
      <c r="L59" t="s">
        <v>103</v>
      </c>
      <c r="M59" t="s">
        <v>104</v>
      </c>
      <c r="N59" s="3">
        <v>45907</v>
      </c>
      <c r="O59">
        <v>58</v>
      </c>
      <c r="P59">
        <v>66</v>
      </c>
      <c r="Q59">
        <v>-8</v>
      </c>
      <c r="R59" t="s">
        <v>105</v>
      </c>
    </row>
    <row r="60" spans="1:18">
      <c r="A60" t="s">
        <v>24</v>
      </c>
      <c r="B60" s="3">
        <v>45897</v>
      </c>
      <c r="C60">
        <v>9.37</v>
      </c>
      <c r="D60">
        <v>9.6</v>
      </c>
      <c r="E60">
        <v>8.94</v>
      </c>
      <c r="F60">
        <v>9.26</v>
      </c>
      <c r="G60">
        <v>9.38</v>
      </c>
      <c r="H60">
        <v>-0.12</v>
      </c>
      <c r="I60">
        <v>-1.2793</v>
      </c>
      <c r="J60">
        <v>1618507.92</v>
      </c>
      <c r="K60">
        <v>1504381.953</v>
      </c>
      <c r="L60" t="s">
        <v>103</v>
      </c>
      <c r="M60" t="s">
        <v>104</v>
      </c>
      <c r="N60" s="3">
        <v>45907</v>
      </c>
      <c r="O60">
        <v>59</v>
      </c>
      <c r="P60">
        <v>66</v>
      </c>
      <c r="Q60">
        <v>-7</v>
      </c>
      <c r="R60" t="s">
        <v>105</v>
      </c>
    </row>
    <row r="61" spans="1:18">
      <c r="A61" t="s">
        <v>24</v>
      </c>
      <c r="B61" s="3">
        <v>45898</v>
      </c>
      <c r="C61">
        <v>9.08</v>
      </c>
      <c r="D61">
        <v>9.16</v>
      </c>
      <c r="E61">
        <v>8.85</v>
      </c>
      <c r="F61">
        <v>8.93</v>
      </c>
      <c r="G61">
        <v>9.26</v>
      </c>
      <c r="H61">
        <v>-0.33</v>
      </c>
      <c r="I61">
        <v>-3.5637</v>
      </c>
      <c r="J61">
        <v>1015561.85</v>
      </c>
      <c r="K61">
        <v>910092.398</v>
      </c>
      <c r="L61" t="s">
        <v>103</v>
      </c>
      <c r="M61" t="s">
        <v>104</v>
      </c>
      <c r="N61" s="3">
        <v>45907</v>
      </c>
      <c r="O61">
        <v>60</v>
      </c>
      <c r="P61">
        <v>66</v>
      </c>
      <c r="Q61">
        <v>-6</v>
      </c>
      <c r="R61" t="s">
        <v>105</v>
      </c>
    </row>
    <row r="62" spans="1:18">
      <c r="A62" t="s">
        <v>24</v>
      </c>
      <c r="B62" s="3">
        <v>45901</v>
      </c>
      <c r="C62">
        <v>8.91</v>
      </c>
      <c r="D62">
        <v>9.24</v>
      </c>
      <c r="E62">
        <v>8.81</v>
      </c>
      <c r="F62">
        <v>9.18</v>
      </c>
      <c r="G62">
        <v>8.93</v>
      </c>
      <c r="H62">
        <v>0.25</v>
      </c>
      <c r="I62">
        <v>2.7996</v>
      </c>
      <c r="J62">
        <v>1095265.57</v>
      </c>
      <c r="K62">
        <v>987663.952</v>
      </c>
      <c r="L62" t="s">
        <v>103</v>
      </c>
      <c r="M62" t="s">
        <v>104</v>
      </c>
      <c r="N62" s="3">
        <v>45907</v>
      </c>
      <c r="O62">
        <v>61</v>
      </c>
      <c r="P62">
        <v>66</v>
      </c>
      <c r="Q62">
        <v>-5</v>
      </c>
      <c r="R62" t="s">
        <v>105</v>
      </c>
    </row>
    <row r="63" spans="1:18">
      <c r="A63" t="s">
        <v>24</v>
      </c>
      <c r="B63" s="3">
        <v>45902</v>
      </c>
      <c r="C63">
        <v>9.23</v>
      </c>
      <c r="D63">
        <v>9.34</v>
      </c>
      <c r="E63">
        <v>8.66</v>
      </c>
      <c r="F63">
        <v>8.75</v>
      </c>
      <c r="G63">
        <v>9.18</v>
      </c>
      <c r="H63">
        <v>-0.43</v>
      </c>
      <c r="I63">
        <v>-4.6841</v>
      </c>
      <c r="J63">
        <v>875908.09</v>
      </c>
      <c r="K63">
        <v>781925.991</v>
      </c>
      <c r="L63" t="s">
        <v>103</v>
      </c>
      <c r="M63" t="s">
        <v>104</v>
      </c>
      <c r="N63" s="3">
        <v>45907</v>
      </c>
      <c r="O63">
        <v>62</v>
      </c>
      <c r="P63">
        <v>66</v>
      </c>
      <c r="Q63">
        <v>-4</v>
      </c>
      <c r="R63" t="s">
        <v>105</v>
      </c>
    </row>
    <row r="64" spans="1:18">
      <c r="A64" t="s">
        <v>24</v>
      </c>
      <c r="B64" s="3">
        <v>45903</v>
      </c>
      <c r="C64">
        <v>8.72</v>
      </c>
      <c r="D64">
        <v>8.85</v>
      </c>
      <c r="E64">
        <v>8.26</v>
      </c>
      <c r="F64">
        <v>8.29</v>
      </c>
      <c r="G64">
        <v>8.75</v>
      </c>
      <c r="H64">
        <v>-0.46</v>
      </c>
      <c r="I64">
        <v>-5.2571</v>
      </c>
      <c r="J64">
        <v>693468.6</v>
      </c>
      <c r="K64">
        <v>588347.056</v>
      </c>
      <c r="L64" t="s">
        <v>103</v>
      </c>
      <c r="M64" t="s">
        <v>104</v>
      </c>
      <c r="N64" s="3">
        <v>45907</v>
      </c>
      <c r="O64">
        <v>63</v>
      </c>
      <c r="P64">
        <v>66</v>
      </c>
      <c r="Q64">
        <v>-3</v>
      </c>
      <c r="R64" t="s">
        <v>105</v>
      </c>
    </row>
    <row r="65" spans="1:19">
      <c r="A65" t="s">
        <v>24</v>
      </c>
      <c r="B65" s="3">
        <v>45904</v>
      </c>
      <c r="C65">
        <v>8.29</v>
      </c>
      <c r="D65">
        <v>8.36</v>
      </c>
      <c r="E65">
        <v>7.88</v>
      </c>
      <c r="F65">
        <v>8.02</v>
      </c>
      <c r="G65">
        <v>8.29</v>
      </c>
      <c r="H65">
        <v>-0.27</v>
      </c>
      <c r="I65">
        <v>-3.2569</v>
      </c>
      <c r="J65">
        <v>608043.67</v>
      </c>
      <c r="K65">
        <v>495389.296</v>
      </c>
      <c r="L65" t="s">
        <v>103</v>
      </c>
      <c r="M65" t="s">
        <v>104</v>
      </c>
      <c r="N65" s="3">
        <v>45907</v>
      </c>
      <c r="O65">
        <v>64</v>
      </c>
      <c r="P65">
        <v>66</v>
      </c>
      <c r="Q65">
        <v>-2</v>
      </c>
      <c r="R65" t="s">
        <v>105</v>
      </c>
    </row>
    <row r="66" spans="1:19">
      <c r="A66" t="s">
        <v>24</v>
      </c>
      <c r="B66" s="3">
        <v>45905</v>
      </c>
      <c r="C66">
        <v>8.07</v>
      </c>
      <c r="D66">
        <v>8.23</v>
      </c>
      <c r="E66">
        <v>7.99</v>
      </c>
      <c r="F66">
        <v>8.22</v>
      </c>
      <c r="G66">
        <v>8.02</v>
      </c>
      <c r="H66">
        <v>0.2</v>
      </c>
      <c r="I66">
        <v>2.4938</v>
      </c>
      <c r="J66">
        <v>436369.29</v>
      </c>
      <c r="K66">
        <v>355535.732</v>
      </c>
      <c r="L66" t="s">
        <v>103</v>
      </c>
      <c r="M66" t="s">
        <v>104</v>
      </c>
      <c r="N66" s="3">
        <v>45907</v>
      </c>
      <c r="O66">
        <v>65</v>
      </c>
      <c r="P66">
        <v>66</v>
      </c>
      <c r="Q66">
        <v>-1</v>
      </c>
      <c r="R66" t="s">
        <v>105</v>
      </c>
    </row>
    <row r="67" spans="1:19">
      <c r="A67" t="s">
        <v>24</v>
      </c>
      <c r="B67" s="3">
        <v>45908</v>
      </c>
      <c r="C67">
        <v>8.16</v>
      </c>
      <c r="D67">
        <v>8.27</v>
      </c>
      <c r="E67">
        <v>8.1</v>
      </c>
      <c r="F67">
        <v>8.17</v>
      </c>
      <c r="G67">
        <v>8.22</v>
      </c>
      <c r="H67">
        <v>-0.05</v>
      </c>
      <c r="I67">
        <v>-0.6083</v>
      </c>
      <c r="J67">
        <v>371436.44</v>
      </c>
      <c r="K67">
        <v>303769.353</v>
      </c>
      <c r="L67" t="s">
        <v>103</v>
      </c>
      <c r="M67" t="s">
        <v>104</v>
      </c>
      <c r="N67" s="3">
        <v>45907</v>
      </c>
      <c r="O67">
        <v>66</v>
      </c>
      <c r="P67">
        <v>66</v>
      </c>
      <c r="Q67">
        <v>0</v>
      </c>
      <c r="R67" t="s">
        <v>106</v>
      </c>
      <c r="S67" t="s">
        <v>112</v>
      </c>
    </row>
    <row r="68" spans="1:19">
      <c r="A68" t="s">
        <v>24</v>
      </c>
      <c r="B68" s="3">
        <v>45909</v>
      </c>
      <c r="C68">
        <v>8.11</v>
      </c>
      <c r="D68">
        <v>8.24</v>
      </c>
      <c r="E68">
        <v>7.98</v>
      </c>
      <c r="F68">
        <v>8.09</v>
      </c>
      <c r="G68">
        <v>8.17</v>
      </c>
      <c r="H68">
        <v>-0.08</v>
      </c>
      <c r="I68">
        <v>-0.9792</v>
      </c>
      <c r="J68">
        <v>439571.93</v>
      </c>
      <c r="K68">
        <v>356143.45</v>
      </c>
      <c r="L68" t="s">
        <v>103</v>
      </c>
      <c r="M68" t="s">
        <v>104</v>
      </c>
      <c r="N68" s="3">
        <v>45907</v>
      </c>
      <c r="O68">
        <v>67</v>
      </c>
      <c r="P68">
        <v>66</v>
      </c>
      <c r="Q68">
        <v>1</v>
      </c>
      <c r="R68" t="s">
        <v>107</v>
      </c>
    </row>
    <row r="69" spans="1:19">
      <c r="A69" t="s">
        <v>24</v>
      </c>
      <c r="B69" s="3">
        <v>45910</v>
      </c>
      <c r="C69">
        <v>8.18</v>
      </c>
      <c r="D69">
        <v>8.22</v>
      </c>
      <c r="E69">
        <v>8.1</v>
      </c>
      <c r="F69">
        <v>8.17</v>
      </c>
      <c r="G69">
        <v>8.09</v>
      </c>
      <c r="H69">
        <v>0.08</v>
      </c>
      <c r="I69">
        <v>0.9889</v>
      </c>
      <c r="J69">
        <v>352429.86</v>
      </c>
      <c r="K69">
        <v>287834.514</v>
      </c>
      <c r="L69" t="s">
        <v>103</v>
      </c>
      <c r="M69" t="s">
        <v>104</v>
      </c>
      <c r="N69" s="3">
        <v>45907</v>
      </c>
      <c r="O69">
        <v>68</v>
      </c>
      <c r="P69">
        <v>66</v>
      </c>
      <c r="Q69">
        <v>2</v>
      </c>
      <c r="R69" t="s">
        <v>107</v>
      </c>
    </row>
    <row r="70" spans="1:19">
      <c r="A70" t="s">
        <v>24</v>
      </c>
      <c r="B70" s="3">
        <v>45911</v>
      </c>
      <c r="C70">
        <v>8.11</v>
      </c>
      <c r="D70">
        <v>8.49</v>
      </c>
      <c r="E70">
        <v>8.03</v>
      </c>
      <c r="F70">
        <v>8.36</v>
      </c>
      <c r="G70">
        <v>8.17</v>
      </c>
      <c r="H70">
        <v>0.19</v>
      </c>
      <c r="I70">
        <v>2.3256</v>
      </c>
      <c r="J70">
        <v>572186.63</v>
      </c>
      <c r="K70">
        <v>473499.792</v>
      </c>
      <c r="L70" t="s">
        <v>103</v>
      </c>
      <c r="M70" t="s">
        <v>104</v>
      </c>
      <c r="N70" s="3">
        <v>45907</v>
      </c>
      <c r="O70">
        <v>69</v>
      </c>
      <c r="P70">
        <v>66</v>
      </c>
      <c r="Q70">
        <v>3</v>
      </c>
      <c r="R70" t="s">
        <v>107</v>
      </c>
    </row>
    <row r="71" spans="1:19">
      <c r="A71" t="s">
        <v>24</v>
      </c>
      <c r="B71" s="3">
        <v>45912</v>
      </c>
      <c r="C71">
        <v>8.28</v>
      </c>
      <c r="D71">
        <v>8.44</v>
      </c>
      <c r="E71">
        <v>8.19</v>
      </c>
      <c r="F71">
        <v>8.3</v>
      </c>
      <c r="G71">
        <v>8.36</v>
      </c>
      <c r="H71">
        <v>-0.06</v>
      </c>
      <c r="I71">
        <v>-0.7177</v>
      </c>
      <c r="J71">
        <v>487218.29</v>
      </c>
      <c r="K71">
        <v>405478.824</v>
      </c>
      <c r="L71" t="s">
        <v>103</v>
      </c>
      <c r="M71" t="s">
        <v>104</v>
      </c>
      <c r="N71" s="3">
        <v>45907</v>
      </c>
      <c r="O71">
        <v>70</v>
      </c>
      <c r="P71">
        <v>66</v>
      </c>
      <c r="Q71">
        <v>4</v>
      </c>
      <c r="R71" t="s">
        <v>107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28</v>
      </c>
    </row>
    <row r="3" spans="1:2">
      <c r="A3" s="5" t="s">
        <v>75</v>
      </c>
      <c r="B3" s="8" t="s">
        <v>29</v>
      </c>
    </row>
    <row r="4" spans="1:2">
      <c r="A4" s="5" t="s">
        <v>2</v>
      </c>
      <c r="B4" s="7">
        <v>45344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spans="1:2">
      <c r="A7" s="5" t="s">
        <v>1</v>
      </c>
      <c r="B7">
        <v>42</v>
      </c>
    </row>
    <row r="8" spans="1:2">
      <c r="A8" s="5" t="s">
        <v>80</v>
      </c>
      <c r="B8" t="s">
        <v>113</v>
      </c>
    </row>
    <row r="9" spans="1:2">
      <c r="A9" s="5" t="s">
        <v>5</v>
      </c>
      <c r="B9" t="s">
        <v>16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30</v>
      </c>
    </row>
    <row r="12" spans="1:2">
      <c r="A12" s="5" t="s">
        <v>3</v>
      </c>
      <c r="B12" s="3">
        <v>45344</v>
      </c>
    </row>
    <row r="13" spans="1:2">
      <c r="A13" s="5" t="s">
        <v>82</v>
      </c>
      <c r="B13" t="s">
        <v>114</v>
      </c>
    </row>
    <row r="14" spans="1:2">
      <c r="A14" s="5" t="s">
        <v>84</v>
      </c>
      <c r="B14" t="s">
        <v>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28</v>
      </c>
      <c r="B2" s="3">
        <v>45252</v>
      </c>
      <c r="C2">
        <v>24.33</v>
      </c>
      <c r="D2">
        <v>24.64</v>
      </c>
      <c r="E2">
        <v>24.12</v>
      </c>
      <c r="F2">
        <v>24.2</v>
      </c>
      <c r="G2">
        <v>24.42</v>
      </c>
      <c r="H2">
        <v>-0.22</v>
      </c>
      <c r="I2">
        <v>-0.9009</v>
      </c>
      <c r="J2">
        <v>54002.04</v>
      </c>
      <c r="K2">
        <v>131562.479</v>
      </c>
      <c r="L2" t="s">
        <v>103</v>
      </c>
      <c r="M2" t="s">
        <v>104</v>
      </c>
      <c r="N2" s="3">
        <v>45344</v>
      </c>
      <c r="O2">
        <v>1</v>
      </c>
      <c r="P2">
        <v>60</v>
      </c>
      <c r="Q2">
        <v>-59</v>
      </c>
      <c r="R2" t="s">
        <v>105</v>
      </c>
    </row>
    <row r="3" spans="1:19">
      <c r="A3" t="s">
        <v>28</v>
      </c>
      <c r="B3" s="3">
        <v>45253</v>
      </c>
      <c r="C3">
        <v>24.17</v>
      </c>
      <c r="D3">
        <v>24.76</v>
      </c>
      <c r="E3">
        <v>24.14</v>
      </c>
      <c r="F3">
        <v>24.54</v>
      </c>
      <c r="G3">
        <v>24.2</v>
      </c>
      <c r="H3">
        <v>0.34</v>
      </c>
      <c r="I3">
        <v>1.405</v>
      </c>
      <c r="J3">
        <v>56482.84</v>
      </c>
      <c r="K3">
        <v>138426.665</v>
      </c>
      <c r="L3" t="s">
        <v>103</v>
      </c>
      <c r="M3" t="s">
        <v>104</v>
      </c>
      <c r="N3" s="3">
        <v>45344</v>
      </c>
      <c r="O3">
        <v>2</v>
      </c>
      <c r="P3">
        <v>60</v>
      </c>
      <c r="Q3">
        <v>-58</v>
      </c>
      <c r="R3" t="s">
        <v>105</v>
      </c>
    </row>
    <row r="4" spans="1:19">
      <c r="A4" t="s">
        <v>28</v>
      </c>
      <c r="B4" s="3">
        <v>45254</v>
      </c>
      <c r="C4">
        <v>24.45</v>
      </c>
      <c r="D4">
        <v>24.62</v>
      </c>
      <c r="E4">
        <v>23.98</v>
      </c>
      <c r="F4">
        <v>24.1</v>
      </c>
      <c r="G4">
        <v>24.54</v>
      </c>
      <c r="H4">
        <v>-0.44</v>
      </c>
      <c r="I4">
        <v>-1.793</v>
      </c>
      <c r="J4">
        <v>54534.98</v>
      </c>
      <c r="K4">
        <v>131945.36</v>
      </c>
      <c r="L4" t="s">
        <v>103</v>
      </c>
      <c r="M4" t="s">
        <v>104</v>
      </c>
      <c r="N4" s="3">
        <v>45344</v>
      </c>
      <c r="O4">
        <v>3</v>
      </c>
      <c r="P4">
        <v>60</v>
      </c>
      <c r="Q4">
        <v>-57</v>
      </c>
      <c r="R4" t="s">
        <v>105</v>
      </c>
    </row>
    <row r="5" spans="1:19">
      <c r="A5" t="s">
        <v>28</v>
      </c>
      <c r="B5" s="3">
        <v>45257</v>
      </c>
      <c r="C5">
        <v>23.8</v>
      </c>
      <c r="D5">
        <v>24.68</v>
      </c>
      <c r="E5">
        <v>23.79</v>
      </c>
      <c r="F5">
        <v>24.55</v>
      </c>
      <c r="G5">
        <v>24.1</v>
      </c>
      <c r="H5">
        <v>0.45</v>
      </c>
      <c r="I5">
        <v>1.8672</v>
      </c>
      <c r="J5">
        <v>68307.9</v>
      </c>
      <c r="K5">
        <v>167069.212</v>
      </c>
      <c r="L5" t="s">
        <v>103</v>
      </c>
      <c r="M5" t="s">
        <v>104</v>
      </c>
      <c r="N5" s="3">
        <v>45344</v>
      </c>
      <c r="O5">
        <v>4</v>
      </c>
      <c r="P5">
        <v>60</v>
      </c>
      <c r="Q5">
        <v>-56</v>
      </c>
      <c r="R5" t="s">
        <v>105</v>
      </c>
    </row>
    <row r="6" spans="1:19">
      <c r="A6" t="s">
        <v>28</v>
      </c>
      <c r="B6" s="3">
        <v>45258</v>
      </c>
      <c r="C6">
        <v>24.47</v>
      </c>
      <c r="D6">
        <v>24.68</v>
      </c>
      <c r="E6">
        <v>24.33</v>
      </c>
      <c r="F6">
        <v>24.55</v>
      </c>
      <c r="G6">
        <v>24.55</v>
      </c>
      <c r="H6">
        <v>0</v>
      </c>
      <c r="I6">
        <v>0</v>
      </c>
      <c r="J6">
        <v>41877</v>
      </c>
      <c r="K6">
        <v>102517.687</v>
      </c>
      <c r="L6" t="s">
        <v>103</v>
      </c>
      <c r="M6" t="s">
        <v>104</v>
      </c>
      <c r="N6" s="3">
        <v>45344</v>
      </c>
      <c r="O6">
        <v>5</v>
      </c>
      <c r="P6">
        <v>60</v>
      </c>
      <c r="Q6">
        <v>-55</v>
      </c>
      <c r="R6" t="s">
        <v>105</v>
      </c>
    </row>
    <row r="7" spans="1:19">
      <c r="A7" t="s">
        <v>28</v>
      </c>
      <c r="B7" s="3">
        <v>45259</v>
      </c>
      <c r="C7">
        <v>24.55</v>
      </c>
      <c r="D7">
        <v>25.3</v>
      </c>
      <c r="E7">
        <v>24.55</v>
      </c>
      <c r="F7">
        <v>24.75</v>
      </c>
      <c r="G7">
        <v>24.55</v>
      </c>
      <c r="H7">
        <v>0.2</v>
      </c>
      <c r="I7">
        <v>0.8147</v>
      </c>
      <c r="J7">
        <v>83231.82</v>
      </c>
      <c r="K7">
        <v>207618.331</v>
      </c>
      <c r="L7" t="s">
        <v>103</v>
      </c>
      <c r="M7" t="s">
        <v>104</v>
      </c>
      <c r="N7" s="3">
        <v>45344</v>
      </c>
      <c r="O7">
        <v>6</v>
      </c>
      <c r="P7">
        <v>60</v>
      </c>
      <c r="Q7">
        <v>-54</v>
      </c>
      <c r="R7" t="s">
        <v>105</v>
      </c>
    </row>
    <row r="8" spans="1:19">
      <c r="A8" t="s">
        <v>28</v>
      </c>
      <c r="B8" s="3">
        <v>45260</v>
      </c>
      <c r="C8">
        <v>24.55</v>
      </c>
      <c r="D8">
        <v>24.72</v>
      </c>
      <c r="E8">
        <v>24.16</v>
      </c>
      <c r="F8">
        <v>24.49</v>
      </c>
      <c r="G8">
        <v>24.75</v>
      </c>
      <c r="H8">
        <v>-0.26</v>
      </c>
      <c r="I8">
        <v>-1.0505</v>
      </c>
      <c r="J8">
        <v>46646.51</v>
      </c>
      <c r="K8">
        <v>113603.355</v>
      </c>
      <c r="L8" t="s">
        <v>103</v>
      </c>
      <c r="M8" t="s">
        <v>104</v>
      </c>
      <c r="N8" s="3">
        <v>45344</v>
      </c>
      <c r="O8">
        <v>7</v>
      </c>
      <c r="P8">
        <v>60</v>
      </c>
      <c r="Q8">
        <v>-53</v>
      </c>
      <c r="R8" t="s">
        <v>105</v>
      </c>
    </row>
    <row r="9" spans="1:19">
      <c r="A9" t="s">
        <v>28</v>
      </c>
      <c r="B9" s="3">
        <v>45261</v>
      </c>
      <c r="C9">
        <v>24.55</v>
      </c>
      <c r="D9">
        <v>24.71</v>
      </c>
      <c r="E9">
        <v>24.07</v>
      </c>
      <c r="F9">
        <v>24.7</v>
      </c>
      <c r="G9">
        <v>24.49</v>
      </c>
      <c r="H9">
        <v>0.21</v>
      </c>
      <c r="I9">
        <v>0.8575</v>
      </c>
      <c r="J9">
        <v>45043.22</v>
      </c>
      <c r="K9">
        <v>109837.986</v>
      </c>
      <c r="L9" t="s">
        <v>103</v>
      </c>
      <c r="M9" t="s">
        <v>104</v>
      </c>
      <c r="N9" s="3">
        <v>45344</v>
      </c>
      <c r="O9">
        <v>8</v>
      </c>
      <c r="P9">
        <v>60</v>
      </c>
      <c r="Q9">
        <v>-52</v>
      </c>
      <c r="R9" t="s">
        <v>105</v>
      </c>
    </row>
    <row r="10" spans="1:19">
      <c r="A10" t="s">
        <v>28</v>
      </c>
      <c r="B10" s="3">
        <v>45264</v>
      </c>
      <c r="C10">
        <v>24.7</v>
      </c>
      <c r="D10">
        <v>24.85</v>
      </c>
      <c r="E10">
        <v>24.1</v>
      </c>
      <c r="F10">
        <v>24.23</v>
      </c>
      <c r="G10">
        <v>24.7</v>
      </c>
      <c r="H10">
        <v>-0.47</v>
      </c>
      <c r="I10">
        <v>-1.9028</v>
      </c>
      <c r="J10">
        <v>44881.15</v>
      </c>
      <c r="K10">
        <v>109841.258</v>
      </c>
      <c r="L10" t="s">
        <v>103</v>
      </c>
      <c r="M10" t="s">
        <v>104</v>
      </c>
      <c r="N10" s="3">
        <v>45344</v>
      </c>
      <c r="O10">
        <v>9</v>
      </c>
      <c r="P10">
        <v>60</v>
      </c>
      <c r="Q10">
        <v>-51</v>
      </c>
      <c r="R10" t="s">
        <v>105</v>
      </c>
    </row>
    <row r="11" spans="1:19">
      <c r="A11" t="s">
        <v>28</v>
      </c>
      <c r="B11" s="3">
        <v>45265</v>
      </c>
      <c r="C11">
        <v>24.2</v>
      </c>
      <c r="D11">
        <v>24.2</v>
      </c>
      <c r="E11">
        <v>23.81</v>
      </c>
      <c r="F11">
        <v>23.98</v>
      </c>
      <c r="G11">
        <v>24.23</v>
      </c>
      <c r="H11">
        <v>-0.25</v>
      </c>
      <c r="I11">
        <v>-1.0318</v>
      </c>
      <c r="J11">
        <v>42215</v>
      </c>
      <c r="K11">
        <v>101088.256</v>
      </c>
      <c r="L11" t="s">
        <v>103</v>
      </c>
      <c r="M11" t="s">
        <v>104</v>
      </c>
      <c r="N11" s="3">
        <v>45344</v>
      </c>
      <c r="O11">
        <v>10</v>
      </c>
      <c r="P11">
        <v>60</v>
      </c>
      <c r="Q11">
        <v>-50</v>
      </c>
      <c r="R11" t="s">
        <v>105</v>
      </c>
    </row>
    <row r="12" spans="1:19">
      <c r="A12" t="s">
        <v>28</v>
      </c>
      <c r="B12" s="3">
        <v>45266</v>
      </c>
      <c r="C12">
        <v>23.81</v>
      </c>
      <c r="D12">
        <v>24.1</v>
      </c>
      <c r="E12">
        <v>23.67</v>
      </c>
      <c r="F12">
        <v>23.9</v>
      </c>
      <c r="G12">
        <v>23.98</v>
      </c>
      <c r="H12">
        <v>-0.08</v>
      </c>
      <c r="I12">
        <v>-0.3336</v>
      </c>
      <c r="J12">
        <v>36133.04</v>
      </c>
      <c r="K12">
        <v>86453.783</v>
      </c>
      <c r="L12" t="s">
        <v>103</v>
      </c>
      <c r="M12" t="s">
        <v>104</v>
      </c>
      <c r="N12" s="3">
        <v>45344</v>
      </c>
      <c r="O12">
        <v>11</v>
      </c>
      <c r="P12">
        <v>60</v>
      </c>
      <c r="Q12">
        <v>-49</v>
      </c>
      <c r="R12" t="s">
        <v>105</v>
      </c>
    </row>
    <row r="13" spans="1:19">
      <c r="A13" t="s">
        <v>28</v>
      </c>
      <c r="B13" s="3">
        <v>45267</v>
      </c>
      <c r="C13">
        <v>23.83</v>
      </c>
      <c r="D13">
        <v>23.96</v>
      </c>
      <c r="E13">
        <v>23.44</v>
      </c>
      <c r="F13">
        <v>23.57</v>
      </c>
      <c r="G13">
        <v>23.9</v>
      </c>
      <c r="H13">
        <v>-0.33</v>
      </c>
      <c r="I13">
        <v>-1.3808</v>
      </c>
      <c r="J13">
        <v>37577.81</v>
      </c>
      <c r="K13">
        <v>88690.237</v>
      </c>
      <c r="L13" t="s">
        <v>103</v>
      </c>
      <c r="M13" t="s">
        <v>104</v>
      </c>
      <c r="N13" s="3">
        <v>45344</v>
      </c>
      <c r="O13">
        <v>12</v>
      </c>
      <c r="P13">
        <v>60</v>
      </c>
      <c r="Q13">
        <v>-48</v>
      </c>
      <c r="R13" t="s">
        <v>105</v>
      </c>
    </row>
    <row r="14" spans="1:19">
      <c r="A14" t="s">
        <v>28</v>
      </c>
      <c r="B14" s="3">
        <v>45268</v>
      </c>
      <c r="C14">
        <v>23.57</v>
      </c>
      <c r="D14">
        <v>23.85</v>
      </c>
      <c r="E14">
        <v>23.4</v>
      </c>
      <c r="F14">
        <v>23.46</v>
      </c>
      <c r="G14">
        <v>23.57</v>
      </c>
      <c r="H14">
        <v>-0.11</v>
      </c>
      <c r="I14">
        <v>-0.4667</v>
      </c>
      <c r="J14">
        <v>43216.5</v>
      </c>
      <c r="K14">
        <v>101912.024</v>
      </c>
      <c r="L14" t="s">
        <v>103</v>
      </c>
      <c r="M14" t="s">
        <v>104</v>
      </c>
      <c r="N14" s="3">
        <v>45344</v>
      </c>
      <c r="O14">
        <v>13</v>
      </c>
      <c r="P14">
        <v>60</v>
      </c>
      <c r="Q14">
        <v>-47</v>
      </c>
      <c r="R14" t="s">
        <v>105</v>
      </c>
    </row>
    <row r="15" spans="1:19">
      <c r="A15" t="s">
        <v>28</v>
      </c>
      <c r="B15" s="3">
        <v>45271</v>
      </c>
      <c r="C15">
        <v>23.5</v>
      </c>
      <c r="D15">
        <v>24.43</v>
      </c>
      <c r="E15">
        <v>23.23</v>
      </c>
      <c r="F15">
        <v>24.4</v>
      </c>
      <c r="G15">
        <v>23.46</v>
      </c>
      <c r="H15">
        <v>0.94</v>
      </c>
      <c r="I15">
        <v>4.0068</v>
      </c>
      <c r="J15">
        <v>67723.3</v>
      </c>
      <c r="K15">
        <v>162303.796</v>
      </c>
      <c r="L15" t="s">
        <v>103</v>
      </c>
      <c r="M15" t="s">
        <v>104</v>
      </c>
      <c r="N15" s="3">
        <v>45344</v>
      </c>
      <c r="O15">
        <v>14</v>
      </c>
      <c r="P15">
        <v>60</v>
      </c>
      <c r="Q15">
        <v>-46</v>
      </c>
      <c r="R15" t="s">
        <v>105</v>
      </c>
    </row>
    <row r="16" spans="1:19">
      <c r="A16" t="s">
        <v>28</v>
      </c>
      <c r="B16" s="3">
        <v>45272</v>
      </c>
      <c r="C16">
        <v>24.48</v>
      </c>
      <c r="D16">
        <v>24.63</v>
      </c>
      <c r="E16">
        <v>24.16</v>
      </c>
      <c r="F16">
        <v>24.5</v>
      </c>
      <c r="G16">
        <v>24.4</v>
      </c>
      <c r="H16">
        <v>0.1</v>
      </c>
      <c r="I16">
        <v>0.4098</v>
      </c>
      <c r="J16">
        <v>39654.82</v>
      </c>
      <c r="K16">
        <v>97111.76</v>
      </c>
      <c r="L16" t="s">
        <v>103</v>
      </c>
      <c r="M16" t="s">
        <v>104</v>
      </c>
      <c r="N16" s="3">
        <v>45344</v>
      </c>
      <c r="O16">
        <v>15</v>
      </c>
      <c r="P16">
        <v>60</v>
      </c>
      <c r="Q16">
        <v>-45</v>
      </c>
      <c r="R16" t="s">
        <v>105</v>
      </c>
    </row>
    <row r="17" spans="1:18">
      <c r="A17" t="s">
        <v>28</v>
      </c>
      <c r="B17" s="3">
        <v>45273</v>
      </c>
      <c r="C17">
        <v>24.35</v>
      </c>
      <c r="D17">
        <v>24.43</v>
      </c>
      <c r="E17">
        <v>24.11</v>
      </c>
      <c r="F17">
        <v>24.23</v>
      </c>
      <c r="G17">
        <v>24.5</v>
      </c>
      <c r="H17">
        <v>-0.27</v>
      </c>
      <c r="I17">
        <v>-1.102</v>
      </c>
      <c r="J17">
        <v>24287.62</v>
      </c>
      <c r="K17">
        <v>58938.568</v>
      </c>
      <c r="L17" t="s">
        <v>103</v>
      </c>
      <c r="M17" t="s">
        <v>104</v>
      </c>
      <c r="N17" s="3">
        <v>45344</v>
      </c>
      <c r="O17">
        <v>16</v>
      </c>
      <c r="P17">
        <v>60</v>
      </c>
      <c r="Q17">
        <v>-44</v>
      </c>
      <c r="R17" t="s">
        <v>105</v>
      </c>
    </row>
    <row r="18" spans="1:18">
      <c r="A18" t="s">
        <v>28</v>
      </c>
      <c r="B18" s="3">
        <v>45274</v>
      </c>
      <c r="C18">
        <v>24.12</v>
      </c>
      <c r="D18">
        <v>24.34</v>
      </c>
      <c r="E18">
        <v>23.81</v>
      </c>
      <c r="F18">
        <v>23.81</v>
      </c>
      <c r="G18">
        <v>24.23</v>
      </c>
      <c r="H18">
        <v>-0.42</v>
      </c>
      <c r="I18">
        <v>-1.7334</v>
      </c>
      <c r="J18">
        <v>37295</v>
      </c>
      <c r="K18">
        <v>89585.963</v>
      </c>
      <c r="L18" t="s">
        <v>103</v>
      </c>
      <c r="M18" t="s">
        <v>104</v>
      </c>
      <c r="N18" s="3">
        <v>45344</v>
      </c>
      <c r="O18">
        <v>17</v>
      </c>
      <c r="P18">
        <v>60</v>
      </c>
      <c r="Q18">
        <v>-43</v>
      </c>
      <c r="R18" t="s">
        <v>105</v>
      </c>
    </row>
    <row r="19" spans="1:18">
      <c r="A19" t="s">
        <v>28</v>
      </c>
      <c r="B19" s="3">
        <v>45275</v>
      </c>
      <c r="C19">
        <v>24.12</v>
      </c>
      <c r="D19">
        <v>24.12</v>
      </c>
      <c r="E19">
        <v>23.23</v>
      </c>
      <c r="F19">
        <v>23.42</v>
      </c>
      <c r="G19">
        <v>23.81</v>
      </c>
      <c r="H19">
        <v>-0.39</v>
      </c>
      <c r="I19">
        <v>-1.638</v>
      </c>
      <c r="J19">
        <v>47609.69</v>
      </c>
      <c r="K19">
        <v>111918.797</v>
      </c>
      <c r="L19" t="s">
        <v>103</v>
      </c>
      <c r="M19" t="s">
        <v>104</v>
      </c>
      <c r="N19" s="3">
        <v>45344</v>
      </c>
      <c r="O19">
        <v>18</v>
      </c>
      <c r="P19">
        <v>60</v>
      </c>
      <c r="Q19">
        <v>-42</v>
      </c>
      <c r="R19" t="s">
        <v>105</v>
      </c>
    </row>
    <row r="20" spans="1:18">
      <c r="A20" t="s">
        <v>28</v>
      </c>
      <c r="B20" s="3">
        <v>45278</v>
      </c>
      <c r="C20">
        <v>23.18</v>
      </c>
      <c r="D20">
        <v>23.33</v>
      </c>
      <c r="E20">
        <v>22.88</v>
      </c>
      <c r="F20">
        <v>22.97</v>
      </c>
      <c r="G20">
        <v>23.42</v>
      </c>
      <c r="H20">
        <v>-0.45</v>
      </c>
      <c r="I20">
        <v>-1.9214</v>
      </c>
      <c r="J20">
        <v>61888.06</v>
      </c>
      <c r="K20">
        <v>142659.428</v>
      </c>
      <c r="L20" t="s">
        <v>103</v>
      </c>
      <c r="M20" t="s">
        <v>104</v>
      </c>
      <c r="N20" s="3">
        <v>45344</v>
      </c>
      <c r="O20">
        <v>19</v>
      </c>
      <c r="P20">
        <v>60</v>
      </c>
      <c r="Q20">
        <v>-41</v>
      </c>
      <c r="R20" t="s">
        <v>105</v>
      </c>
    </row>
    <row r="21" spans="1:18">
      <c r="A21" t="s">
        <v>28</v>
      </c>
      <c r="B21" s="3">
        <v>45279</v>
      </c>
      <c r="C21">
        <v>23</v>
      </c>
      <c r="D21">
        <v>23.18</v>
      </c>
      <c r="E21">
        <v>22.51</v>
      </c>
      <c r="F21">
        <v>22.69</v>
      </c>
      <c r="G21">
        <v>22.97</v>
      </c>
      <c r="H21">
        <v>-0.28</v>
      </c>
      <c r="I21">
        <v>-1.219</v>
      </c>
      <c r="J21">
        <v>80949.28</v>
      </c>
      <c r="K21">
        <v>184072.98</v>
      </c>
      <c r="L21" t="s">
        <v>103</v>
      </c>
      <c r="M21" t="s">
        <v>104</v>
      </c>
      <c r="N21" s="3">
        <v>45344</v>
      </c>
      <c r="O21">
        <v>20</v>
      </c>
      <c r="P21">
        <v>60</v>
      </c>
      <c r="Q21">
        <v>-40</v>
      </c>
      <c r="R21" t="s">
        <v>105</v>
      </c>
    </row>
    <row r="22" spans="1:18">
      <c r="A22" t="s">
        <v>28</v>
      </c>
      <c r="B22" s="3">
        <v>45280</v>
      </c>
      <c r="C22">
        <v>22.75</v>
      </c>
      <c r="D22">
        <v>22.86</v>
      </c>
      <c r="E22">
        <v>22.45</v>
      </c>
      <c r="F22">
        <v>22.5</v>
      </c>
      <c r="G22">
        <v>22.69</v>
      </c>
      <c r="H22">
        <v>-0.19</v>
      </c>
      <c r="I22">
        <v>-0.8374</v>
      </c>
      <c r="J22">
        <v>41630</v>
      </c>
      <c r="K22">
        <v>94274.804</v>
      </c>
      <c r="L22" t="s">
        <v>103</v>
      </c>
      <c r="M22" t="s">
        <v>104</v>
      </c>
      <c r="N22" s="3">
        <v>45344</v>
      </c>
      <c r="O22">
        <v>21</v>
      </c>
      <c r="P22">
        <v>60</v>
      </c>
      <c r="Q22">
        <v>-39</v>
      </c>
      <c r="R22" t="s">
        <v>105</v>
      </c>
    </row>
    <row r="23" spans="1:18">
      <c r="A23" t="s">
        <v>28</v>
      </c>
      <c r="B23" s="3">
        <v>45281</v>
      </c>
      <c r="C23">
        <v>22.77</v>
      </c>
      <c r="D23">
        <v>22.82</v>
      </c>
      <c r="E23">
        <v>22.2</v>
      </c>
      <c r="F23">
        <v>22.74</v>
      </c>
      <c r="G23">
        <v>22.5</v>
      </c>
      <c r="H23">
        <v>0.24</v>
      </c>
      <c r="I23">
        <v>1.0667</v>
      </c>
      <c r="J23">
        <v>37611.53</v>
      </c>
      <c r="K23">
        <v>84724.18</v>
      </c>
      <c r="L23" t="s">
        <v>103</v>
      </c>
      <c r="M23" t="s">
        <v>104</v>
      </c>
      <c r="N23" s="3">
        <v>45344</v>
      </c>
      <c r="O23">
        <v>22</v>
      </c>
      <c r="P23">
        <v>60</v>
      </c>
      <c r="Q23">
        <v>-38</v>
      </c>
      <c r="R23" t="s">
        <v>105</v>
      </c>
    </row>
    <row r="24" spans="1:18">
      <c r="A24" t="s">
        <v>28</v>
      </c>
      <c r="B24" s="3">
        <v>45282</v>
      </c>
      <c r="C24">
        <v>22.73</v>
      </c>
      <c r="D24">
        <v>22.99</v>
      </c>
      <c r="E24">
        <v>22.5</v>
      </c>
      <c r="F24">
        <v>22.61</v>
      </c>
      <c r="G24">
        <v>22.74</v>
      </c>
      <c r="H24">
        <v>-0.13</v>
      </c>
      <c r="I24">
        <v>-0.5717</v>
      </c>
      <c r="J24">
        <v>40954.77</v>
      </c>
      <c r="K24">
        <v>92893.689</v>
      </c>
      <c r="L24" t="s">
        <v>103</v>
      </c>
      <c r="M24" t="s">
        <v>104</v>
      </c>
      <c r="N24" s="3">
        <v>45344</v>
      </c>
      <c r="O24">
        <v>23</v>
      </c>
      <c r="P24">
        <v>60</v>
      </c>
      <c r="Q24">
        <v>-37</v>
      </c>
      <c r="R24" t="s">
        <v>105</v>
      </c>
    </row>
    <row r="25" spans="1:18">
      <c r="A25" t="s">
        <v>28</v>
      </c>
      <c r="B25" s="3">
        <v>45285</v>
      </c>
      <c r="C25">
        <v>22.59</v>
      </c>
      <c r="D25">
        <v>22.9</v>
      </c>
      <c r="E25">
        <v>22.35</v>
      </c>
      <c r="F25">
        <v>22.77</v>
      </c>
      <c r="G25">
        <v>22.61</v>
      </c>
      <c r="H25">
        <v>0.16</v>
      </c>
      <c r="I25">
        <v>0.7077</v>
      </c>
      <c r="J25">
        <v>26768</v>
      </c>
      <c r="K25">
        <v>60834.522</v>
      </c>
      <c r="L25" t="s">
        <v>103</v>
      </c>
      <c r="M25" t="s">
        <v>104</v>
      </c>
      <c r="N25" s="3">
        <v>45344</v>
      </c>
      <c r="O25">
        <v>24</v>
      </c>
      <c r="P25">
        <v>60</v>
      </c>
      <c r="Q25">
        <v>-36</v>
      </c>
      <c r="R25" t="s">
        <v>105</v>
      </c>
    </row>
    <row r="26" spans="1:18">
      <c r="A26" t="s">
        <v>28</v>
      </c>
      <c r="B26" s="3">
        <v>45286</v>
      </c>
      <c r="C26">
        <v>23.05</v>
      </c>
      <c r="D26">
        <v>23.35</v>
      </c>
      <c r="E26">
        <v>22.73</v>
      </c>
      <c r="F26">
        <v>23.02</v>
      </c>
      <c r="G26">
        <v>22.77</v>
      </c>
      <c r="H26">
        <v>0.25</v>
      </c>
      <c r="I26">
        <v>1.0979</v>
      </c>
      <c r="J26">
        <v>56572.92</v>
      </c>
      <c r="K26">
        <v>130236.148</v>
      </c>
      <c r="L26" t="s">
        <v>103</v>
      </c>
      <c r="M26" t="s">
        <v>104</v>
      </c>
      <c r="N26" s="3">
        <v>45344</v>
      </c>
      <c r="O26">
        <v>25</v>
      </c>
      <c r="P26">
        <v>60</v>
      </c>
      <c r="Q26">
        <v>-35</v>
      </c>
      <c r="R26" t="s">
        <v>105</v>
      </c>
    </row>
    <row r="27" spans="1:18">
      <c r="A27" t="s">
        <v>28</v>
      </c>
      <c r="B27" s="3">
        <v>45287</v>
      </c>
      <c r="C27">
        <v>22.96</v>
      </c>
      <c r="D27">
        <v>24.15</v>
      </c>
      <c r="E27">
        <v>22.71</v>
      </c>
      <c r="F27">
        <v>23.91</v>
      </c>
      <c r="G27">
        <v>23.02</v>
      </c>
      <c r="H27">
        <v>0.89</v>
      </c>
      <c r="I27">
        <v>3.8662</v>
      </c>
      <c r="J27">
        <v>104538.72</v>
      </c>
      <c r="K27">
        <v>246338.862</v>
      </c>
      <c r="L27" t="s">
        <v>103</v>
      </c>
      <c r="M27" t="s">
        <v>104</v>
      </c>
      <c r="N27" s="3">
        <v>45344</v>
      </c>
      <c r="O27">
        <v>26</v>
      </c>
      <c r="P27">
        <v>60</v>
      </c>
      <c r="Q27">
        <v>-34</v>
      </c>
      <c r="R27" t="s">
        <v>105</v>
      </c>
    </row>
    <row r="28" spans="1:18">
      <c r="A28" t="s">
        <v>28</v>
      </c>
      <c r="B28" s="3">
        <v>45288</v>
      </c>
      <c r="C28">
        <v>23.91</v>
      </c>
      <c r="D28">
        <v>23.97</v>
      </c>
      <c r="E28">
        <v>23.55</v>
      </c>
      <c r="F28">
        <v>23.68</v>
      </c>
      <c r="G28">
        <v>23.91</v>
      </c>
      <c r="H28">
        <v>-0.23</v>
      </c>
      <c r="I28">
        <v>-0.9619</v>
      </c>
      <c r="J28">
        <v>68322.09</v>
      </c>
      <c r="K28">
        <v>162020.18</v>
      </c>
      <c r="L28" t="s">
        <v>103</v>
      </c>
      <c r="M28" t="s">
        <v>104</v>
      </c>
      <c r="N28" s="3">
        <v>45344</v>
      </c>
      <c r="O28">
        <v>27</v>
      </c>
      <c r="P28">
        <v>60</v>
      </c>
      <c r="Q28">
        <v>-33</v>
      </c>
      <c r="R28" t="s">
        <v>105</v>
      </c>
    </row>
    <row r="29" spans="1:18">
      <c r="A29" t="s">
        <v>28</v>
      </c>
      <c r="B29" s="3">
        <v>45289</v>
      </c>
      <c r="C29">
        <v>23.68</v>
      </c>
      <c r="D29">
        <v>24.31</v>
      </c>
      <c r="E29">
        <v>23.6</v>
      </c>
      <c r="F29">
        <v>24.2</v>
      </c>
      <c r="G29">
        <v>23.68</v>
      </c>
      <c r="H29">
        <v>0.52</v>
      </c>
      <c r="I29">
        <v>2.1959</v>
      </c>
      <c r="J29">
        <v>83092.08</v>
      </c>
      <c r="K29">
        <v>199724.076</v>
      </c>
      <c r="L29" t="s">
        <v>103</v>
      </c>
      <c r="M29" t="s">
        <v>104</v>
      </c>
      <c r="N29" s="3">
        <v>45344</v>
      </c>
      <c r="O29">
        <v>28</v>
      </c>
      <c r="P29">
        <v>60</v>
      </c>
      <c r="Q29">
        <v>-32</v>
      </c>
      <c r="R29" t="s">
        <v>105</v>
      </c>
    </row>
    <row r="30" spans="1:18">
      <c r="A30" t="s">
        <v>28</v>
      </c>
      <c r="B30" s="3">
        <v>45293</v>
      </c>
      <c r="C30">
        <v>24.12</v>
      </c>
      <c r="D30">
        <v>24.19</v>
      </c>
      <c r="E30">
        <v>23.32</v>
      </c>
      <c r="F30">
        <v>23.32</v>
      </c>
      <c r="G30">
        <v>24.2</v>
      </c>
      <c r="H30">
        <v>-0.88</v>
      </c>
      <c r="I30">
        <v>-3.6364</v>
      </c>
      <c r="J30">
        <v>63265.23</v>
      </c>
      <c r="K30">
        <v>149637.315</v>
      </c>
      <c r="L30" t="s">
        <v>103</v>
      </c>
      <c r="M30" t="s">
        <v>104</v>
      </c>
      <c r="N30" s="3">
        <v>45344</v>
      </c>
      <c r="O30">
        <v>29</v>
      </c>
      <c r="P30">
        <v>60</v>
      </c>
      <c r="Q30">
        <v>-31</v>
      </c>
      <c r="R30" t="s">
        <v>105</v>
      </c>
    </row>
    <row r="31" spans="1:18">
      <c r="A31" t="s">
        <v>28</v>
      </c>
      <c r="B31" s="3">
        <v>45294</v>
      </c>
      <c r="C31">
        <v>23.2</v>
      </c>
      <c r="D31">
        <v>23.23</v>
      </c>
      <c r="E31">
        <v>21.9</v>
      </c>
      <c r="F31">
        <v>22.25</v>
      </c>
      <c r="G31">
        <v>23.32</v>
      </c>
      <c r="H31">
        <v>-1.07</v>
      </c>
      <c r="I31">
        <v>-4.5883</v>
      </c>
      <c r="J31">
        <v>112954.12</v>
      </c>
      <c r="K31">
        <v>253062.611</v>
      </c>
      <c r="L31" t="s">
        <v>103</v>
      </c>
      <c r="M31" t="s">
        <v>104</v>
      </c>
      <c r="N31" s="3">
        <v>45344</v>
      </c>
      <c r="O31">
        <v>30</v>
      </c>
      <c r="P31">
        <v>60</v>
      </c>
      <c r="Q31">
        <v>-30</v>
      </c>
      <c r="R31" t="s">
        <v>105</v>
      </c>
    </row>
    <row r="32" spans="1:18">
      <c r="A32" t="s">
        <v>28</v>
      </c>
      <c r="B32" s="3">
        <v>45295</v>
      </c>
      <c r="C32">
        <v>22.28</v>
      </c>
      <c r="D32">
        <v>22.7</v>
      </c>
      <c r="E32">
        <v>22.24</v>
      </c>
      <c r="F32">
        <v>22.44</v>
      </c>
      <c r="G32">
        <v>22.25</v>
      </c>
      <c r="H32">
        <v>0.19</v>
      </c>
      <c r="I32">
        <v>0.8539</v>
      </c>
      <c r="J32">
        <v>51092.31</v>
      </c>
      <c r="K32">
        <v>114694.585</v>
      </c>
      <c r="L32" t="s">
        <v>103</v>
      </c>
      <c r="M32" t="s">
        <v>104</v>
      </c>
      <c r="N32" s="3">
        <v>45344</v>
      </c>
      <c r="O32">
        <v>31</v>
      </c>
      <c r="P32">
        <v>60</v>
      </c>
      <c r="Q32">
        <v>-29</v>
      </c>
      <c r="R32" t="s">
        <v>105</v>
      </c>
    </row>
    <row r="33" spans="1:18">
      <c r="A33" t="s">
        <v>28</v>
      </c>
      <c r="B33" s="3">
        <v>45296</v>
      </c>
      <c r="C33">
        <v>22.44</v>
      </c>
      <c r="D33">
        <v>22.44</v>
      </c>
      <c r="E33">
        <v>21.67</v>
      </c>
      <c r="F33">
        <v>21.82</v>
      </c>
      <c r="G33">
        <v>22.44</v>
      </c>
      <c r="H33">
        <v>-0.62</v>
      </c>
      <c r="I33">
        <v>-2.7629</v>
      </c>
      <c r="J33">
        <v>61457.59</v>
      </c>
      <c r="K33">
        <v>134930.383</v>
      </c>
      <c r="L33" t="s">
        <v>103</v>
      </c>
      <c r="M33" t="s">
        <v>104</v>
      </c>
      <c r="N33" s="3">
        <v>45344</v>
      </c>
      <c r="O33">
        <v>32</v>
      </c>
      <c r="P33">
        <v>60</v>
      </c>
      <c r="Q33">
        <v>-28</v>
      </c>
      <c r="R33" t="s">
        <v>105</v>
      </c>
    </row>
    <row r="34" spans="1:18">
      <c r="A34" t="s">
        <v>28</v>
      </c>
      <c r="B34" s="3">
        <v>45299</v>
      </c>
      <c r="C34">
        <v>21.9</v>
      </c>
      <c r="D34">
        <v>21.95</v>
      </c>
      <c r="E34">
        <v>21.15</v>
      </c>
      <c r="F34">
        <v>21.21</v>
      </c>
      <c r="G34">
        <v>21.82</v>
      </c>
      <c r="H34">
        <v>-0.61</v>
      </c>
      <c r="I34">
        <v>-2.7956</v>
      </c>
      <c r="J34">
        <v>59605.63</v>
      </c>
      <c r="K34">
        <v>127264.99</v>
      </c>
      <c r="L34" t="s">
        <v>103</v>
      </c>
      <c r="M34" t="s">
        <v>104</v>
      </c>
      <c r="N34" s="3">
        <v>45344</v>
      </c>
      <c r="O34">
        <v>33</v>
      </c>
      <c r="P34">
        <v>60</v>
      </c>
      <c r="Q34">
        <v>-27</v>
      </c>
      <c r="R34" t="s">
        <v>105</v>
      </c>
    </row>
    <row r="35" spans="1:18">
      <c r="A35" t="s">
        <v>28</v>
      </c>
      <c r="B35" s="3">
        <v>45300</v>
      </c>
      <c r="C35">
        <v>21.24</v>
      </c>
      <c r="D35">
        <v>21.37</v>
      </c>
      <c r="E35">
        <v>20.52</v>
      </c>
      <c r="F35">
        <v>20.89</v>
      </c>
      <c r="G35">
        <v>21.21</v>
      </c>
      <c r="H35">
        <v>-0.32</v>
      </c>
      <c r="I35">
        <v>-1.5087</v>
      </c>
      <c r="J35">
        <v>67734</v>
      </c>
      <c r="K35">
        <v>141376.422</v>
      </c>
      <c r="L35" t="s">
        <v>103</v>
      </c>
      <c r="M35" t="s">
        <v>104</v>
      </c>
      <c r="N35" s="3">
        <v>45344</v>
      </c>
      <c r="O35">
        <v>34</v>
      </c>
      <c r="P35">
        <v>60</v>
      </c>
      <c r="Q35">
        <v>-26</v>
      </c>
      <c r="R35" t="s">
        <v>105</v>
      </c>
    </row>
    <row r="36" spans="1:18">
      <c r="A36" t="s">
        <v>28</v>
      </c>
      <c r="B36" s="3">
        <v>45301</v>
      </c>
      <c r="C36">
        <v>20.89</v>
      </c>
      <c r="D36">
        <v>20.98</v>
      </c>
      <c r="E36">
        <v>20.4</v>
      </c>
      <c r="F36">
        <v>20.58</v>
      </c>
      <c r="G36">
        <v>20.89</v>
      </c>
      <c r="H36">
        <v>-0.31</v>
      </c>
      <c r="I36">
        <v>-1.484</v>
      </c>
      <c r="J36">
        <v>39379.82</v>
      </c>
      <c r="K36">
        <v>81432.111</v>
      </c>
      <c r="L36" t="s">
        <v>103</v>
      </c>
      <c r="M36" t="s">
        <v>104</v>
      </c>
      <c r="N36" s="3">
        <v>45344</v>
      </c>
      <c r="O36">
        <v>35</v>
      </c>
      <c r="P36">
        <v>60</v>
      </c>
      <c r="Q36">
        <v>-25</v>
      </c>
      <c r="R36" t="s">
        <v>105</v>
      </c>
    </row>
    <row r="37" spans="1:18">
      <c r="A37" t="s">
        <v>28</v>
      </c>
      <c r="B37" s="3">
        <v>45302</v>
      </c>
      <c r="C37">
        <v>20.57</v>
      </c>
      <c r="D37">
        <v>21</v>
      </c>
      <c r="E37">
        <v>20.5</v>
      </c>
      <c r="F37">
        <v>20.87</v>
      </c>
      <c r="G37">
        <v>20.58</v>
      </c>
      <c r="H37">
        <v>0.29</v>
      </c>
      <c r="I37">
        <v>1.4091</v>
      </c>
      <c r="J37">
        <v>58893.16</v>
      </c>
      <c r="K37">
        <v>122509.273</v>
      </c>
      <c r="L37" t="s">
        <v>103</v>
      </c>
      <c r="M37" t="s">
        <v>104</v>
      </c>
      <c r="N37" s="3">
        <v>45344</v>
      </c>
      <c r="O37">
        <v>36</v>
      </c>
      <c r="P37">
        <v>60</v>
      </c>
      <c r="Q37">
        <v>-24</v>
      </c>
      <c r="R37" t="s">
        <v>105</v>
      </c>
    </row>
    <row r="38" spans="1:18">
      <c r="A38" t="s">
        <v>28</v>
      </c>
      <c r="B38" s="3">
        <v>45303</v>
      </c>
      <c r="C38">
        <v>20.83</v>
      </c>
      <c r="D38">
        <v>21.08</v>
      </c>
      <c r="E38">
        <v>20.5</v>
      </c>
      <c r="F38">
        <v>20.7</v>
      </c>
      <c r="G38">
        <v>20.87</v>
      </c>
      <c r="H38">
        <v>-0.17</v>
      </c>
      <c r="I38">
        <v>-0.8146</v>
      </c>
      <c r="J38">
        <v>41799.98</v>
      </c>
      <c r="K38">
        <v>86735.054</v>
      </c>
      <c r="L38" t="s">
        <v>103</v>
      </c>
      <c r="M38" t="s">
        <v>104</v>
      </c>
      <c r="N38" s="3">
        <v>45344</v>
      </c>
      <c r="O38">
        <v>37</v>
      </c>
      <c r="P38">
        <v>60</v>
      </c>
      <c r="Q38">
        <v>-23</v>
      </c>
      <c r="R38" t="s">
        <v>105</v>
      </c>
    </row>
    <row r="39" spans="1:18">
      <c r="A39" t="s">
        <v>28</v>
      </c>
      <c r="B39" s="3">
        <v>45306</v>
      </c>
      <c r="C39">
        <v>20.66</v>
      </c>
      <c r="D39">
        <v>21.08</v>
      </c>
      <c r="E39">
        <v>20.5</v>
      </c>
      <c r="F39">
        <v>20.75</v>
      </c>
      <c r="G39">
        <v>20.7</v>
      </c>
      <c r="H39">
        <v>0.05</v>
      </c>
      <c r="I39">
        <v>0.2415</v>
      </c>
      <c r="J39">
        <v>60714.84</v>
      </c>
      <c r="K39">
        <v>126357.71</v>
      </c>
      <c r="L39" t="s">
        <v>103</v>
      </c>
      <c r="M39" t="s">
        <v>104</v>
      </c>
      <c r="N39" s="3">
        <v>45344</v>
      </c>
      <c r="O39">
        <v>38</v>
      </c>
      <c r="P39">
        <v>60</v>
      </c>
      <c r="Q39">
        <v>-22</v>
      </c>
      <c r="R39" t="s">
        <v>105</v>
      </c>
    </row>
    <row r="40" spans="1:18">
      <c r="A40" t="s">
        <v>28</v>
      </c>
      <c r="B40" s="3">
        <v>45307</v>
      </c>
      <c r="C40">
        <v>20.81</v>
      </c>
      <c r="D40">
        <v>20.85</v>
      </c>
      <c r="E40">
        <v>20.09</v>
      </c>
      <c r="F40">
        <v>20.4</v>
      </c>
      <c r="G40">
        <v>20.75</v>
      </c>
      <c r="H40">
        <v>-0.35</v>
      </c>
      <c r="I40">
        <v>-1.6867</v>
      </c>
      <c r="J40">
        <v>54410.59</v>
      </c>
      <c r="K40">
        <v>110912.101</v>
      </c>
      <c r="L40" t="s">
        <v>103</v>
      </c>
      <c r="M40" t="s">
        <v>104</v>
      </c>
      <c r="N40" s="3">
        <v>45344</v>
      </c>
      <c r="O40">
        <v>39</v>
      </c>
      <c r="P40">
        <v>60</v>
      </c>
      <c r="Q40">
        <v>-21</v>
      </c>
      <c r="R40" t="s">
        <v>105</v>
      </c>
    </row>
    <row r="41" spans="1:18">
      <c r="A41" t="s">
        <v>28</v>
      </c>
      <c r="B41" s="3">
        <v>45308</v>
      </c>
      <c r="C41">
        <v>20.45</v>
      </c>
      <c r="D41">
        <v>20.45</v>
      </c>
      <c r="E41">
        <v>19.58</v>
      </c>
      <c r="F41">
        <v>19.6</v>
      </c>
      <c r="G41">
        <v>20.4</v>
      </c>
      <c r="H41">
        <v>-0.8</v>
      </c>
      <c r="I41">
        <v>-3.9216</v>
      </c>
      <c r="J41">
        <v>58357.72</v>
      </c>
      <c r="K41">
        <v>116293.985</v>
      </c>
      <c r="L41" t="s">
        <v>103</v>
      </c>
      <c r="M41" t="s">
        <v>104</v>
      </c>
      <c r="N41" s="3">
        <v>45344</v>
      </c>
      <c r="O41">
        <v>40</v>
      </c>
      <c r="P41">
        <v>60</v>
      </c>
      <c r="Q41">
        <v>-20</v>
      </c>
      <c r="R41" t="s">
        <v>105</v>
      </c>
    </row>
    <row r="42" spans="1:18">
      <c r="A42" t="s">
        <v>28</v>
      </c>
      <c r="B42" s="3">
        <v>45309</v>
      </c>
      <c r="C42">
        <v>19.51</v>
      </c>
      <c r="D42">
        <v>19.81</v>
      </c>
      <c r="E42">
        <v>18.96</v>
      </c>
      <c r="F42">
        <v>19.74</v>
      </c>
      <c r="G42">
        <v>19.6</v>
      </c>
      <c r="H42">
        <v>0.14</v>
      </c>
      <c r="I42">
        <v>0.7143</v>
      </c>
      <c r="J42">
        <v>91354.98</v>
      </c>
      <c r="K42">
        <v>176306.416</v>
      </c>
      <c r="L42" t="s">
        <v>103</v>
      </c>
      <c r="M42" t="s">
        <v>104</v>
      </c>
      <c r="N42" s="3">
        <v>45344</v>
      </c>
      <c r="O42">
        <v>41</v>
      </c>
      <c r="P42">
        <v>60</v>
      </c>
      <c r="Q42">
        <v>-19</v>
      </c>
      <c r="R42" t="s">
        <v>105</v>
      </c>
    </row>
    <row r="43" spans="1:18">
      <c r="A43" t="s">
        <v>28</v>
      </c>
      <c r="B43" s="3">
        <v>45310</v>
      </c>
      <c r="C43">
        <v>19.79</v>
      </c>
      <c r="D43">
        <v>19.85</v>
      </c>
      <c r="E43">
        <v>19.42</v>
      </c>
      <c r="F43">
        <v>19.52</v>
      </c>
      <c r="G43">
        <v>19.74</v>
      </c>
      <c r="H43">
        <v>-0.22</v>
      </c>
      <c r="I43">
        <v>-1.1145</v>
      </c>
      <c r="J43">
        <v>36508.18</v>
      </c>
      <c r="K43">
        <v>71617.439</v>
      </c>
      <c r="L43" t="s">
        <v>103</v>
      </c>
      <c r="M43" t="s">
        <v>104</v>
      </c>
      <c r="N43" s="3">
        <v>45344</v>
      </c>
      <c r="O43">
        <v>42</v>
      </c>
      <c r="P43">
        <v>60</v>
      </c>
      <c r="Q43">
        <v>-18</v>
      </c>
      <c r="R43" t="s">
        <v>105</v>
      </c>
    </row>
    <row r="44" spans="1:18">
      <c r="A44" t="s">
        <v>28</v>
      </c>
      <c r="B44" s="3">
        <v>45313</v>
      </c>
      <c r="C44">
        <v>19.49</v>
      </c>
      <c r="D44">
        <v>19.6</v>
      </c>
      <c r="E44">
        <v>18.06</v>
      </c>
      <c r="F44">
        <v>18.2</v>
      </c>
      <c r="G44">
        <v>19.52</v>
      </c>
      <c r="H44">
        <v>-1.32</v>
      </c>
      <c r="I44">
        <v>-6.7623</v>
      </c>
      <c r="J44">
        <v>117666</v>
      </c>
      <c r="K44">
        <v>220689.39</v>
      </c>
      <c r="L44" t="s">
        <v>103</v>
      </c>
      <c r="M44" t="s">
        <v>104</v>
      </c>
      <c r="N44" s="3">
        <v>45344</v>
      </c>
      <c r="O44">
        <v>43</v>
      </c>
      <c r="P44">
        <v>60</v>
      </c>
      <c r="Q44">
        <v>-17</v>
      </c>
      <c r="R44" t="s">
        <v>105</v>
      </c>
    </row>
    <row r="45" spans="1:18">
      <c r="A45" t="s">
        <v>28</v>
      </c>
      <c r="B45" s="3">
        <v>45314</v>
      </c>
      <c r="C45">
        <v>18.19</v>
      </c>
      <c r="D45">
        <v>18.82</v>
      </c>
      <c r="E45">
        <v>17.92</v>
      </c>
      <c r="F45">
        <v>18.66</v>
      </c>
      <c r="G45">
        <v>18.2</v>
      </c>
      <c r="H45">
        <v>0.46</v>
      </c>
      <c r="I45">
        <v>2.5275</v>
      </c>
      <c r="J45">
        <v>89771.63</v>
      </c>
      <c r="K45">
        <v>165204.495</v>
      </c>
      <c r="L45" t="s">
        <v>103</v>
      </c>
      <c r="M45" t="s">
        <v>104</v>
      </c>
      <c r="N45" s="3">
        <v>45344</v>
      </c>
      <c r="O45">
        <v>44</v>
      </c>
      <c r="P45">
        <v>60</v>
      </c>
      <c r="Q45">
        <v>-16</v>
      </c>
      <c r="R45" t="s">
        <v>105</v>
      </c>
    </row>
    <row r="46" spans="1:18">
      <c r="A46" t="s">
        <v>28</v>
      </c>
      <c r="B46" s="3">
        <v>45315</v>
      </c>
      <c r="C46">
        <v>18.78</v>
      </c>
      <c r="D46">
        <v>19.08</v>
      </c>
      <c r="E46">
        <v>18.02</v>
      </c>
      <c r="F46">
        <v>18.76</v>
      </c>
      <c r="G46">
        <v>18.66</v>
      </c>
      <c r="H46">
        <v>0.1</v>
      </c>
      <c r="I46">
        <v>0.5359</v>
      </c>
      <c r="J46">
        <v>65851.82</v>
      </c>
      <c r="K46">
        <v>121881.042</v>
      </c>
      <c r="L46" t="s">
        <v>103</v>
      </c>
      <c r="M46" t="s">
        <v>104</v>
      </c>
      <c r="N46" s="3">
        <v>45344</v>
      </c>
      <c r="O46">
        <v>45</v>
      </c>
      <c r="P46">
        <v>60</v>
      </c>
      <c r="Q46">
        <v>-15</v>
      </c>
      <c r="R46" t="s">
        <v>105</v>
      </c>
    </row>
    <row r="47" spans="1:18">
      <c r="A47" t="s">
        <v>28</v>
      </c>
      <c r="B47" s="3">
        <v>45316</v>
      </c>
      <c r="C47">
        <v>18.83</v>
      </c>
      <c r="D47">
        <v>19.45</v>
      </c>
      <c r="E47">
        <v>18.63</v>
      </c>
      <c r="F47">
        <v>19.26</v>
      </c>
      <c r="G47">
        <v>18.76</v>
      </c>
      <c r="H47">
        <v>0.5</v>
      </c>
      <c r="I47">
        <v>2.6652</v>
      </c>
      <c r="J47">
        <v>59641.45</v>
      </c>
      <c r="K47">
        <v>113994.344</v>
      </c>
      <c r="L47" t="s">
        <v>103</v>
      </c>
      <c r="M47" t="s">
        <v>104</v>
      </c>
      <c r="N47" s="3">
        <v>45344</v>
      </c>
      <c r="O47">
        <v>46</v>
      </c>
      <c r="P47">
        <v>60</v>
      </c>
      <c r="Q47">
        <v>-14</v>
      </c>
      <c r="R47" t="s">
        <v>105</v>
      </c>
    </row>
    <row r="48" spans="1:18">
      <c r="A48" t="s">
        <v>28</v>
      </c>
      <c r="B48" s="3">
        <v>45317</v>
      </c>
      <c r="C48">
        <v>19.15</v>
      </c>
      <c r="D48">
        <v>19.5</v>
      </c>
      <c r="E48">
        <v>19</v>
      </c>
      <c r="F48">
        <v>19.13</v>
      </c>
      <c r="G48">
        <v>19.26</v>
      </c>
      <c r="H48">
        <v>-0.13</v>
      </c>
      <c r="I48">
        <v>-0.675</v>
      </c>
      <c r="J48">
        <v>63737.24</v>
      </c>
      <c r="K48">
        <v>122845.469</v>
      </c>
      <c r="L48" t="s">
        <v>103</v>
      </c>
      <c r="M48" t="s">
        <v>104</v>
      </c>
      <c r="N48" s="3">
        <v>45344</v>
      </c>
      <c r="O48">
        <v>47</v>
      </c>
      <c r="P48">
        <v>60</v>
      </c>
      <c r="Q48">
        <v>-13</v>
      </c>
      <c r="R48" t="s">
        <v>105</v>
      </c>
    </row>
    <row r="49" spans="1:18">
      <c r="A49" t="s">
        <v>28</v>
      </c>
      <c r="B49" s="3">
        <v>45320</v>
      </c>
      <c r="C49">
        <v>19.35</v>
      </c>
      <c r="D49">
        <v>19.47</v>
      </c>
      <c r="E49">
        <v>18.81</v>
      </c>
      <c r="F49">
        <v>18.92</v>
      </c>
      <c r="G49">
        <v>19.13</v>
      </c>
      <c r="H49">
        <v>-0.21</v>
      </c>
      <c r="I49">
        <v>-1.0978</v>
      </c>
      <c r="J49">
        <v>51987.51</v>
      </c>
      <c r="K49">
        <v>99133.635</v>
      </c>
      <c r="L49" t="s">
        <v>103</v>
      </c>
      <c r="M49" t="s">
        <v>104</v>
      </c>
      <c r="N49" s="3">
        <v>45344</v>
      </c>
      <c r="O49">
        <v>48</v>
      </c>
      <c r="P49">
        <v>60</v>
      </c>
      <c r="Q49">
        <v>-12</v>
      </c>
      <c r="R49" t="s">
        <v>105</v>
      </c>
    </row>
    <row r="50" spans="1:18">
      <c r="A50" t="s">
        <v>28</v>
      </c>
      <c r="B50" s="3">
        <v>45321</v>
      </c>
      <c r="C50">
        <v>18.85</v>
      </c>
      <c r="D50">
        <v>18.85</v>
      </c>
      <c r="E50">
        <v>17.69</v>
      </c>
      <c r="F50">
        <v>17.76</v>
      </c>
      <c r="G50">
        <v>18.92</v>
      </c>
      <c r="H50">
        <v>-1.16</v>
      </c>
      <c r="I50">
        <v>-6.1311</v>
      </c>
      <c r="J50">
        <v>111890.17</v>
      </c>
      <c r="K50">
        <v>203513.705</v>
      </c>
      <c r="L50" t="s">
        <v>103</v>
      </c>
      <c r="M50" t="s">
        <v>104</v>
      </c>
      <c r="N50" s="3">
        <v>45344</v>
      </c>
      <c r="O50">
        <v>49</v>
      </c>
      <c r="P50">
        <v>60</v>
      </c>
      <c r="Q50">
        <v>-11</v>
      </c>
      <c r="R50" t="s">
        <v>105</v>
      </c>
    </row>
    <row r="51" spans="1:18">
      <c r="A51" t="s">
        <v>28</v>
      </c>
      <c r="B51" s="3">
        <v>45322</v>
      </c>
      <c r="C51">
        <v>17.88</v>
      </c>
      <c r="D51">
        <v>17.93</v>
      </c>
      <c r="E51">
        <v>17.29</v>
      </c>
      <c r="F51">
        <v>17.31</v>
      </c>
      <c r="G51">
        <v>17.76</v>
      </c>
      <c r="H51">
        <v>-0.45</v>
      </c>
      <c r="I51">
        <v>-2.5338</v>
      </c>
      <c r="J51">
        <v>70900.28</v>
      </c>
      <c r="K51">
        <v>125035.354</v>
      </c>
      <c r="L51" t="s">
        <v>103</v>
      </c>
      <c r="M51" t="s">
        <v>104</v>
      </c>
      <c r="N51" s="3">
        <v>45344</v>
      </c>
      <c r="O51">
        <v>50</v>
      </c>
      <c r="P51">
        <v>60</v>
      </c>
      <c r="Q51">
        <v>-10</v>
      </c>
      <c r="R51" t="s">
        <v>105</v>
      </c>
    </row>
    <row r="52" spans="1:18">
      <c r="A52" t="s">
        <v>28</v>
      </c>
      <c r="B52" s="3">
        <v>45323</v>
      </c>
      <c r="C52">
        <v>17.15</v>
      </c>
      <c r="D52">
        <v>17.68</v>
      </c>
      <c r="E52">
        <v>16.75</v>
      </c>
      <c r="F52">
        <v>17.39</v>
      </c>
      <c r="G52">
        <v>17.31</v>
      </c>
      <c r="H52">
        <v>0.08</v>
      </c>
      <c r="I52">
        <v>0.4622</v>
      </c>
      <c r="J52">
        <v>89318.07</v>
      </c>
      <c r="K52">
        <v>154018.846</v>
      </c>
      <c r="L52" t="s">
        <v>103</v>
      </c>
      <c r="M52" t="s">
        <v>104</v>
      </c>
      <c r="N52" s="3">
        <v>45344</v>
      </c>
      <c r="O52">
        <v>51</v>
      </c>
      <c r="P52">
        <v>60</v>
      </c>
      <c r="Q52">
        <v>-9</v>
      </c>
      <c r="R52" t="s">
        <v>105</v>
      </c>
    </row>
    <row r="53" spans="1:18">
      <c r="A53" t="s">
        <v>28</v>
      </c>
      <c r="B53" s="3">
        <v>45324</v>
      </c>
      <c r="C53">
        <v>17.28</v>
      </c>
      <c r="D53">
        <v>17.57</v>
      </c>
      <c r="E53">
        <v>15.81</v>
      </c>
      <c r="F53">
        <v>16.61</v>
      </c>
      <c r="G53">
        <v>17.39</v>
      </c>
      <c r="H53">
        <v>-0.78</v>
      </c>
      <c r="I53">
        <v>-4.4853</v>
      </c>
      <c r="J53">
        <v>106856.46</v>
      </c>
      <c r="K53">
        <v>177452.034</v>
      </c>
      <c r="L53" t="s">
        <v>103</v>
      </c>
      <c r="M53" t="s">
        <v>104</v>
      </c>
      <c r="N53" s="3">
        <v>45344</v>
      </c>
      <c r="O53">
        <v>52</v>
      </c>
      <c r="P53">
        <v>60</v>
      </c>
      <c r="Q53">
        <v>-8</v>
      </c>
      <c r="R53" t="s">
        <v>105</v>
      </c>
    </row>
    <row r="54" spans="1:18">
      <c r="A54" t="s">
        <v>28</v>
      </c>
      <c r="B54" s="3">
        <v>45327</v>
      </c>
      <c r="C54">
        <v>16.42</v>
      </c>
      <c r="D54">
        <v>17.04</v>
      </c>
      <c r="E54">
        <v>15.36</v>
      </c>
      <c r="F54">
        <v>16.36</v>
      </c>
      <c r="G54">
        <v>16.61</v>
      </c>
      <c r="H54">
        <v>-0.25</v>
      </c>
      <c r="I54">
        <v>-1.5051</v>
      </c>
      <c r="J54">
        <v>191134.63</v>
      </c>
      <c r="K54">
        <v>308343.995</v>
      </c>
      <c r="L54" t="s">
        <v>103</v>
      </c>
      <c r="M54" t="s">
        <v>104</v>
      </c>
      <c r="N54" s="3">
        <v>45344</v>
      </c>
      <c r="O54">
        <v>53</v>
      </c>
      <c r="P54">
        <v>60</v>
      </c>
      <c r="Q54">
        <v>-7</v>
      </c>
      <c r="R54" t="s">
        <v>105</v>
      </c>
    </row>
    <row r="55" spans="1:18">
      <c r="A55" t="s">
        <v>28</v>
      </c>
      <c r="B55" s="3">
        <v>45328</v>
      </c>
      <c r="C55">
        <v>16.29</v>
      </c>
      <c r="D55">
        <v>18.42</v>
      </c>
      <c r="E55">
        <v>16.13</v>
      </c>
      <c r="F55">
        <v>18.35</v>
      </c>
      <c r="G55">
        <v>16.36</v>
      </c>
      <c r="H55">
        <v>1.99</v>
      </c>
      <c r="I55">
        <v>12.1638</v>
      </c>
      <c r="J55">
        <v>134665.32</v>
      </c>
      <c r="K55">
        <v>235124.339</v>
      </c>
      <c r="L55" t="s">
        <v>103</v>
      </c>
      <c r="M55" t="s">
        <v>104</v>
      </c>
      <c r="N55" s="3">
        <v>45344</v>
      </c>
      <c r="O55">
        <v>54</v>
      </c>
      <c r="P55">
        <v>60</v>
      </c>
      <c r="Q55">
        <v>-6</v>
      </c>
      <c r="R55" t="s">
        <v>105</v>
      </c>
    </row>
    <row r="56" spans="1:18">
      <c r="A56" t="s">
        <v>28</v>
      </c>
      <c r="B56" s="3">
        <v>45329</v>
      </c>
      <c r="C56">
        <v>18.72</v>
      </c>
      <c r="D56">
        <v>19.98</v>
      </c>
      <c r="E56">
        <v>18.37</v>
      </c>
      <c r="F56">
        <v>19.58</v>
      </c>
      <c r="G56">
        <v>18.35</v>
      </c>
      <c r="H56">
        <v>1.23</v>
      </c>
      <c r="I56">
        <v>6.703</v>
      </c>
      <c r="J56">
        <v>138859.41</v>
      </c>
      <c r="K56">
        <v>270057.984</v>
      </c>
      <c r="L56" t="s">
        <v>103</v>
      </c>
      <c r="M56" t="s">
        <v>104</v>
      </c>
      <c r="N56" s="3">
        <v>45344</v>
      </c>
      <c r="O56">
        <v>55</v>
      </c>
      <c r="P56">
        <v>60</v>
      </c>
      <c r="Q56">
        <v>-5</v>
      </c>
      <c r="R56" t="s">
        <v>105</v>
      </c>
    </row>
    <row r="57" spans="1:18">
      <c r="A57" t="s">
        <v>28</v>
      </c>
      <c r="B57" s="3">
        <v>45330</v>
      </c>
      <c r="C57">
        <v>19.74</v>
      </c>
      <c r="D57">
        <v>21.62</v>
      </c>
      <c r="E57">
        <v>19.46</v>
      </c>
      <c r="F57">
        <v>20.42</v>
      </c>
      <c r="G57">
        <v>19.58</v>
      </c>
      <c r="H57">
        <v>0.84</v>
      </c>
      <c r="I57">
        <v>4.2901</v>
      </c>
      <c r="J57">
        <v>142804.16</v>
      </c>
      <c r="K57">
        <v>299430.593</v>
      </c>
      <c r="L57" t="s">
        <v>103</v>
      </c>
      <c r="M57" t="s">
        <v>104</v>
      </c>
      <c r="N57" s="3">
        <v>45344</v>
      </c>
      <c r="O57">
        <v>56</v>
      </c>
      <c r="P57">
        <v>60</v>
      </c>
      <c r="Q57">
        <v>-4</v>
      </c>
      <c r="R57" t="s">
        <v>105</v>
      </c>
    </row>
    <row r="58" spans="1:18">
      <c r="A58" t="s">
        <v>28</v>
      </c>
      <c r="B58" s="3">
        <v>45341</v>
      </c>
      <c r="C58">
        <v>20.42</v>
      </c>
      <c r="D58">
        <v>20.78</v>
      </c>
      <c r="E58">
        <v>19.36</v>
      </c>
      <c r="F58">
        <v>19.71</v>
      </c>
      <c r="G58">
        <v>20.42</v>
      </c>
      <c r="H58">
        <v>-0.71</v>
      </c>
      <c r="I58">
        <v>-3.477</v>
      </c>
      <c r="J58">
        <v>157035.54</v>
      </c>
      <c r="K58">
        <v>309803.322</v>
      </c>
      <c r="L58" t="s">
        <v>103</v>
      </c>
      <c r="M58" t="s">
        <v>104</v>
      </c>
      <c r="N58" s="3">
        <v>45344</v>
      </c>
      <c r="O58">
        <v>57</v>
      </c>
      <c r="P58">
        <v>60</v>
      </c>
      <c r="Q58">
        <v>-3</v>
      </c>
      <c r="R58" t="s">
        <v>105</v>
      </c>
    </row>
    <row r="59" spans="1:18">
      <c r="A59" t="s">
        <v>28</v>
      </c>
      <c r="B59" s="3">
        <v>45342</v>
      </c>
      <c r="C59">
        <v>19.52</v>
      </c>
      <c r="D59">
        <v>20.08</v>
      </c>
      <c r="E59">
        <v>19.41</v>
      </c>
      <c r="F59">
        <v>19.72</v>
      </c>
      <c r="G59">
        <v>19.71</v>
      </c>
      <c r="H59">
        <v>0.01</v>
      </c>
      <c r="I59">
        <v>0.0507</v>
      </c>
      <c r="J59">
        <v>96788.46</v>
      </c>
      <c r="K59">
        <v>190524.27</v>
      </c>
      <c r="L59" t="s">
        <v>103</v>
      </c>
      <c r="M59" t="s">
        <v>104</v>
      </c>
      <c r="N59" s="3">
        <v>45344</v>
      </c>
      <c r="O59">
        <v>58</v>
      </c>
      <c r="P59">
        <v>60</v>
      </c>
      <c r="Q59">
        <v>-2</v>
      </c>
      <c r="R59" t="s">
        <v>105</v>
      </c>
    </row>
    <row r="60" spans="1:18">
      <c r="A60" t="s">
        <v>28</v>
      </c>
      <c r="B60" s="3">
        <v>45343</v>
      </c>
      <c r="C60">
        <v>19.51</v>
      </c>
      <c r="D60">
        <v>20.35</v>
      </c>
      <c r="E60">
        <v>19.42</v>
      </c>
      <c r="F60">
        <v>19.78</v>
      </c>
      <c r="G60">
        <v>19.72</v>
      </c>
      <c r="H60">
        <v>0.06</v>
      </c>
      <c r="I60">
        <v>0.3043</v>
      </c>
      <c r="J60">
        <v>77862.51</v>
      </c>
      <c r="K60">
        <v>155105.472</v>
      </c>
      <c r="L60" t="s">
        <v>103</v>
      </c>
      <c r="M60" t="s">
        <v>104</v>
      </c>
      <c r="N60" s="3">
        <v>45344</v>
      </c>
      <c r="O60">
        <v>59</v>
      </c>
      <c r="P60">
        <v>60</v>
      </c>
      <c r="Q60">
        <v>-1</v>
      </c>
      <c r="R60" t="s">
        <v>105</v>
      </c>
    </row>
    <row r="61" spans="1:18">
      <c r="A61" t="s">
        <v>28</v>
      </c>
      <c r="B61" s="3">
        <v>45344</v>
      </c>
      <c r="C61">
        <v>19.87</v>
      </c>
      <c r="D61">
        <v>20.26</v>
      </c>
      <c r="E61">
        <v>19.6</v>
      </c>
      <c r="F61">
        <v>20.01</v>
      </c>
      <c r="G61">
        <v>19.78</v>
      </c>
      <c r="H61">
        <v>0.23</v>
      </c>
      <c r="I61">
        <v>1.1628</v>
      </c>
      <c r="J61">
        <v>79546.61</v>
      </c>
      <c r="K61">
        <v>159056.283</v>
      </c>
      <c r="L61" t="s">
        <v>103</v>
      </c>
      <c r="M61" t="s">
        <v>104</v>
      </c>
      <c r="N61" s="3">
        <v>45344</v>
      </c>
      <c r="O61">
        <v>60</v>
      </c>
      <c r="P61">
        <v>60</v>
      </c>
      <c r="Q61">
        <v>0</v>
      </c>
      <c r="R61" t="s">
        <v>106</v>
      </c>
    </row>
    <row r="62" spans="1:18">
      <c r="A62" t="s">
        <v>28</v>
      </c>
      <c r="B62" s="3">
        <v>45345</v>
      </c>
      <c r="C62">
        <v>20.23</v>
      </c>
      <c r="D62">
        <v>20.29</v>
      </c>
      <c r="E62">
        <v>19.52</v>
      </c>
      <c r="F62">
        <v>20.01</v>
      </c>
      <c r="G62">
        <v>20.01</v>
      </c>
      <c r="H62">
        <v>0</v>
      </c>
      <c r="I62">
        <v>0</v>
      </c>
      <c r="J62">
        <v>88363.52</v>
      </c>
      <c r="K62">
        <v>175225.794</v>
      </c>
      <c r="L62" t="s">
        <v>103</v>
      </c>
      <c r="M62" t="s">
        <v>104</v>
      </c>
      <c r="N62" s="3">
        <v>45344</v>
      </c>
      <c r="O62">
        <v>61</v>
      </c>
      <c r="P62">
        <v>60</v>
      </c>
      <c r="Q62">
        <v>1</v>
      </c>
      <c r="R62" t="s">
        <v>107</v>
      </c>
    </row>
    <row r="63" spans="1:18">
      <c r="A63" t="s">
        <v>28</v>
      </c>
      <c r="B63" s="3">
        <v>45348</v>
      </c>
      <c r="C63">
        <v>19.89</v>
      </c>
      <c r="D63">
        <v>20.34</v>
      </c>
      <c r="E63">
        <v>19.8</v>
      </c>
      <c r="F63">
        <v>20.01</v>
      </c>
      <c r="G63">
        <v>20.01</v>
      </c>
      <c r="H63">
        <v>0</v>
      </c>
      <c r="I63">
        <v>0</v>
      </c>
      <c r="J63">
        <v>69957.96</v>
      </c>
      <c r="K63">
        <v>140359.972</v>
      </c>
      <c r="L63" t="s">
        <v>103</v>
      </c>
      <c r="M63" t="s">
        <v>104</v>
      </c>
      <c r="N63" s="3">
        <v>45344</v>
      </c>
      <c r="O63">
        <v>62</v>
      </c>
      <c r="P63">
        <v>60</v>
      </c>
      <c r="Q63">
        <v>2</v>
      </c>
      <c r="R63" t="s">
        <v>107</v>
      </c>
    </row>
    <row r="64" spans="1:18">
      <c r="A64" t="s">
        <v>28</v>
      </c>
      <c r="B64" s="3">
        <v>45349</v>
      </c>
      <c r="C64">
        <v>20.01</v>
      </c>
      <c r="D64">
        <v>20.69</v>
      </c>
      <c r="E64">
        <v>19.82</v>
      </c>
      <c r="F64">
        <v>20.68</v>
      </c>
      <c r="G64">
        <v>20.01</v>
      </c>
      <c r="H64">
        <v>0.67</v>
      </c>
      <c r="I64">
        <v>3.3483</v>
      </c>
      <c r="J64">
        <v>94253.62</v>
      </c>
      <c r="K64">
        <v>191403.347</v>
      </c>
      <c r="L64" t="s">
        <v>103</v>
      </c>
      <c r="M64" t="s">
        <v>104</v>
      </c>
      <c r="N64" s="3">
        <v>45344</v>
      </c>
      <c r="O64">
        <v>63</v>
      </c>
      <c r="P64">
        <v>60</v>
      </c>
      <c r="Q64">
        <v>3</v>
      </c>
      <c r="R64" t="s">
        <v>107</v>
      </c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31</v>
      </c>
    </row>
    <row r="3" spans="1:2">
      <c r="A3" s="5" t="s">
        <v>75</v>
      </c>
      <c r="B3" s="8" t="s">
        <v>32</v>
      </c>
    </row>
    <row r="4" spans="1:2">
      <c r="A4" s="5" t="s">
        <v>2</v>
      </c>
      <c r="B4" s="7">
        <v>45876</v>
      </c>
    </row>
    <row r="5" spans="1:2">
      <c r="A5" s="5" t="s">
        <v>76</v>
      </c>
      <c r="B5" s="8" t="s">
        <v>115</v>
      </c>
    </row>
    <row r="6" spans="1:2">
      <c r="A6" s="5" t="s">
        <v>78</v>
      </c>
      <c r="B6" s="8" t="s">
        <v>116</v>
      </c>
    </row>
    <row r="7" spans="1:2">
      <c r="A7" s="5" t="s">
        <v>84</v>
      </c>
      <c r="B7" t="s">
        <v>117</v>
      </c>
    </row>
    <row r="8" spans="1:2">
      <c r="A8" s="5" t="s">
        <v>118</v>
      </c>
      <c r="B8" s="3">
        <v>45876</v>
      </c>
    </row>
    <row r="9" spans="1:2">
      <c r="A9" s="5" t="s">
        <v>1</v>
      </c>
      <c r="B9">
        <v>22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26</v>
      </c>
    </row>
    <row r="12" ht="29" customHeight="1" spans="1:2">
      <c r="A12" s="5" t="s">
        <v>80</v>
      </c>
      <c r="B12" s="14" t="s">
        <v>119</v>
      </c>
    </row>
    <row r="13" spans="1:2">
      <c r="A13" s="5" t="s">
        <v>120</v>
      </c>
      <c r="B13" t="s">
        <v>121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31</v>
      </c>
      <c r="B2" s="3">
        <v>45784</v>
      </c>
      <c r="C2" s="11">
        <v>70.92</v>
      </c>
      <c r="D2" s="11">
        <v>71.27</v>
      </c>
      <c r="E2" s="11">
        <v>67.51</v>
      </c>
      <c r="F2" s="11">
        <v>68.2</v>
      </c>
      <c r="G2" s="11">
        <v>70.62</v>
      </c>
      <c r="H2" s="11">
        <v>-2.42</v>
      </c>
      <c r="I2" s="11">
        <v>-3.4268</v>
      </c>
      <c r="J2" s="12">
        <v>243544.18</v>
      </c>
      <c r="K2" s="13">
        <v>1678559.379</v>
      </c>
      <c r="L2" t="str">
        <f>'300474.SZ_元数据'!$B$5</f>
        <v>事件库1.csv + 股票日行情CSV</v>
      </c>
      <c r="M2" t="s">
        <v>104</v>
      </c>
      <c r="N2" s="3">
        <f>'300474.SZ_元数据'!$B$4</f>
        <v>45876</v>
      </c>
      <c r="O2">
        <f t="shared" ref="O2:O65" si="0">ROW()-1</f>
        <v>1</v>
      </c>
      <c r="P2">
        <f t="shared" ref="P2:P65" si="1">IFERROR(MATCH($N2,$B$2:$B$70,0),"")</f>
        <v>66</v>
      </c>
      <c r="Q2">
        <f t="shared" ref="Q2:Q65" si="2">IF(OR($P2="",$O2=""),"",$O2-$P2)</f>
        <v>-65</v>
      </c>
      <c r="R2" t="str">
        <f t="shared" ref="R2:R65" si="3">IF($Q2="","",IF(AND($Q2&gt;=-100,$Q2&lt;=-1),"事件前100个交易日",IF(AND($Q2&gt;=1,$Q2&lt;=5),"事件后5个交易日",IF($Q2=0,"事件当日","其他区间"))))</f>
        <v>事件前100个交易日</v>
      </c>
    </row>
    <row r="3" spans="1:19">
      <c r="A3" t="s">
        <v>31</v>
      </c>
      <c r="B3" s="3">
        <v>45785</v>
      </c>
      <c r="C3" s="11">
        <v>68.2</v>
      </c>
      <c r="D3" s="11">
        <v>70.86</v>
      </c>
      <c r="E3" s="11">
        <v>67.42</v>
      </c>
      <c r="F3" s="11">
        <v>70.57</v>
      </c>
      <c r="G3" s="11">
        <v>68.2</v>
      </c>
      <c r="H3" s="11">
        <v>2.37</v>
      </c>
      <c r="I3" s="11">
        <v>3.4751</v>
      </c>
      <c r="J3" s="12">
        <v>194454.56</v>
      </c>
      <c r="K3" s="13">
        <v>1354143.256</v>
      </c>
      <c r="L3" t="str">
        <f>'300474.SZ_元数据'!$B$5</f>
        <v>事件库1.csv + 股票日行情CSV</v>
      </c>
      <c r="M3" t="s">
        <v>104</v>
      </c>
      <c r="N3" s="3">
        <f>'300474.SZ_元数据'!$B$4</f>
        <v>45876</v>
      </c>
      <c r="O3">
        <f t="shared" si="0"/>
        <v>2</v>
      </c>
      <c r="P3">
        <f t="shared" si="1"/>
        <v>66</v>
      </c>
      <c r="Q3">
        <f t="shared" si="2"/>
        <v>-64</v>
      </c>
      <c r="R3" t="str">
        <f t="shared" si="3"/>
        <v>事件前100个交易日</v>
      </c>
    </row>
    <row r="4" spans="1:19">
      <c r="A4" t="s">
        <v>31</v>
      </c>
      <c r="B4" s="3">
        <v>45786</v>
      </c>
      <c r="C4" s="11">
        <v>71</v>
      </c>
      <c r="D4" s="11">
        <v>71.92</v>
      </c>
      <c r="E4" s="11">
        <v>68.88</v>
      </c>
      <c r="F4" s="11">
        <v>69.1</v>
      </c>
      <c r="G4" s="11">
        <v>70.57</v>
      </c>
      <c r="H4" s="11">
        <v>-1.47</v>
      </c>
      <c r="I4" s="11">
        <v>-2.083</v>
      </c>
      <c r="J4" s="12">
        <v>144415.06</v>
      </c>
      <c r="K4" s="13">
        <v>1009844.363</v>
      </c>
      <c r="L4" t="str">
        <f>'300474.SZ_元数据'!$B$5</f>
        <v>事件库1.csv + 股票日行情CSV</v>
      </c>
      <c r="M4" t="s">
        <v>104</v>
      </c>
      <c r="N4" s="3">
        <f>'300474.SZ_元数据'!$B$4</f>
        <v>45876</v>
      </c>
      <c r="O4">
        <f t="shared" si="0"/>
        <v>3</v>
      </c>
      <c r="P4">
        <f t="shared" si="1"/>
        <v>66</v>
      </c>
      <c r="Q4">
        <f t="shared" si="2"/>
        <v>-63</v>
      </c>
      <c r="R4" t="str">
        <f t="shared" si="3"/>
        <v>事件前100个交易日</v>
      </c>
    </row>
    <row r="5" spans="1:19">
      <c r="A5" t="s">
        <v>31</v>
      </c>
      <c r="B5" s="3">
        <v>45789</v>
      </c>
      <c r="C5" s="11">
        <v>70.2</v>
      </c>
      <c r="D5" s="11">
        <v>74</v>
      </c>
      <c r="E5" s="11">
        <v>69.65</v>
      </c>
      <c r="F5" s="11">
        <v>72.53</v>
      </c>
      <c r="G5" s="11">
        <v>69.1</v>
      </c>
      <c r="H5" s="11">
        <v>3.43</v>
      </c>
      <c r="I5" s="11">
        <v>4.9638</v>
      </c>
      <c r="J5" s="12">
        <v>231225.13</v>
      </c>
      <c r="K5" s="13">
        <v>1667221.331</v>
      </c>
      <c r="L5" t="str">
        <f>'300474.SZ_元数据'!$B$5</f>
        <v>事件库1.csv + 股票日行情CSV</v>
      </c>
      <c r="M5" t="s">
        <v>104</v>
      </c>
      <c r="N5" s="3">
        <f>'300474.SZ_元数据'!$B$4</f>
        <v>45876</v>
      </c>
      <c r="O5">
        <f t="shared" si="0"/>
        <v>4</v>
      </c>
      <c r="P5">
        <f t="shared" si="1"/>
        <v>66</v>
      </c>
      <c r="Q5">
        <f t="shared" si="2"/>
        <v>-62</v>
      </c>
      <c r="R5" t="str">
        <f t="shared" si="3"/>
        <v>事件前100个交易日</v>
      </c>
    </row>
    <row r="6" spans="1:19">
      <c r="A6" t="s">
        <v>31</v>
      </c>
      <c r="B6" s="3">
        <v>45790</v>
      </c>
      <c r="C6" s="11">
        <v>73.02</v>
      </c>
      <c r="D6" s="11">
        <v>73.02</v>
      </c>
      <c r="E6" s="11">
        <v>70.23</v>
      </c>
      <c r="F6" s="11">
        <v>70.59</v>
      </c>
      <c r="G6" s="11">
        <v>72.53</v>
      </c>
      <c r="H6" s="11">
        <v>-1.94</v>
      </c>
      <c r="I6" s="11">
        <v>-2.6748</v>
      </c>
      <c r="J6" s="12">
        <v>174108.19</v>
      </c>
      <c r="K6" s="13">
        <v>1240780.958</v>
      </c>
      <c r="L6" t="str">
        <f>'300474.SZ_元数据'!$B$5</f>
        <v>事件库1.csv + 股票日行情CSV</v>
      </c>
      <c r="M6" t="s">
        <v>104</v>
      </c>
      <c r="N6" s="3">
        <f>'300474.SZ_元数据'!$B$4</f>
        <v>45876</v>
      </c>
      <c r="O6">
        <f t="shared" si="0"/>
        <v>5</v>
      </c>
      <c r="P6">
        <f t="shared" si="1"/>
        <v>66</v>
      </c>
      <c r="Q6">
        <f t="shared" si="2"/>
        <v>-61</v>
      </c>
      <c r="R6" t="str">
        <f t="shared" si="3"/>
        <v>事件前100个交易日</v>
      </c>
    </row>
    <row r="7" spans="1:19">
      <c r="A7" t="s">
        <v>31</v>
      </c>
      <c r="B7" s="3">
        <v>45791</v>
      </c>
      <c r="C7" s="11">
        <v>70.7</v>
      </c>
      <c r="D7" s="11">
        <v>71.2</v>
      </c>
      <c r="E7" s="11">
        <v>69.41</v>
      </c>
      <c r="F7" s="11">
        <v>70.2</v>
      </c>
      <c r="G7" s="11">
        <v>70.59</v>
      </c>
      <c r="H7" s="11">
        <v>-0.39</v>
      </c>
      <c r="I7" s="11">
        <v>-0.5525</v>
      </c>
      <c r="J7" s="12">
        <v>127673.87</v>
      </c>
      <c r="K7" s="13">
        <v>895468.451</v>
      </c>
      <c r="L7" t="str">
        <f>'300474.SZ_元数据'!$B$5</f>
        <v>事件库1.csv + 股票日行情CSV</v>
      </c>
      <c r="M7" t="s">
        <v>104</v>
      </c>
      <c r="N7" s="3">
        <f>'300474.SZ_元数据'!$B$4</f>
        <v>45876</v>
      </c>
      <c r="O7">
        <f t="shared" si="0"/>
        <v>6</v>
      </c>
      <c r="P7">
        <f t="shared" si="1"/>
        <v>66</v>
      </c>
      <c r="Q7">
        <f t="shared" si="2"/>
        <v>-60</v>
      </c>
      <c r="R7" t="str">
        <f t="shared" si="3"/>
        <v>事件前100个交易日</v>
      </c>
    </row>
    <row r="8" spans="1:19">
      <c r="A8" t="s">
        <v>31</v>
      </c>
      <c r="B8" s="3">
        <v>45792</v>
      </c>
      <c r="C8" s="11">
        <v>70.2</v>
      </c>
      <c r="D8" s="11">
        <v>70.2</v>
      </c>
      <c r="E8" s="11">
        <v>67.8</v>
      </c>
      <c r="F8" s="11">
        <v>67.8</v>
      </c>
      <c r="G8" s="11">
        <v>70.2</v>
      </c>
      <c r="H8" s="11">
        <v>-2.4</v>
      </c>
      <c r="I8" s="11">
        <v>-3.4188</v>
      </c>
      <c r="J8" s="12">
        <v>117503.9</v>
      </c>
      <c r="K8" s="13">
        <v>803715.93</v>
      </c>
      <c r="L8" t="str">
        <f>'300474.SZ_元数据'!$B$5</f>
        <v>事件库1.csv + 股票日行情CSV</v>
      </c>
      <c r="M8" t="s">
        <v>104</v>
      </c>
      <c r="N8" s="3">
        <f>'300474.SZ_元数据'!$B$4</f>
        <v>45876</v>
      </c>
      <c r="O8">
        <f t="shared" si="0"/>
        <v>7</v>
      </c>
      <c r="P8">
        <f t="shared" si="1"/>
        <v>66</v>
      </c>
      <c r="Q8">
        <f t="shared" si="2"/>
        <v>-59</v>
      </c>
      <c r="R8" t="str">
        <f t="shared" si="3"/>
        <v>事件前100个交易日</v>
      </c>
    </row>
    <row r="9" spans="1:19">
      <c r="A9" t="s">
        <v>31</v>
      </c>
      <c r="B9" s="3">
        <v>45793</v>
      </c>
      <c r="C9" s="11">
        <v>67.41</v>
      </c>
      <c r="D9" s="11">
        <v>68.06</v>
      </c>
      <c r="E9" s="11">
        <v>67.21</v>
      </c>
      <c r="F9" s="11">
        <v>67.51</v>
      </c>
      <c r="G9" s="11">
        <v>67.8</v>
      </c>
      <c r="H9" s="11">
        <v>-0.29</v>
      </c>
      <c r="I9" s="11">
        <v>-0.4277</v>
      </c>
      <c r="J9" s="12">
        <v>67453.71</v>
      </c>
      <c r="K9" s="13">
        <v>456468.837</v>
      </c>
      <c r="L9" t="str">
        <f>'300474.SZ_元数据'!$B$5</f>
        <v>事件库1.csv + 股票日行情CSV</v>
      </c>
      <c r="M9" t="s">
        <v>104</v>
      </c>
      <c r="N9" s="3">
        <f>'300474.SZ_元数据'!$B$4</f>
        <v>45876</v>
      </c>
      <c r="O9">
        <f t="shared" si="0"/>
        <v>8</v>
      </c>
      <c r="P9">
        <f t="shared" si="1"/>
        <v>66</v>
      </c>
      <c r="Q9">
        <f t="shared" si="2"/>
        <v>-58</v>
      </c>
      <c r="R9" t="str">
        <f t="shared" si="3"/>
        <v>事件前100个交易日</v>
      </c>
    </row>
    <row r="10" spans="1:19">
      <c r="A10" t="s">
        <v>31</v>
      </c>
      <c r="B10" s="3">
        <v>45796</v>
      </c>
      <c r="C10" s="11">
        <v>67.78</v>
      </c>
      <c r="D10" s="11">
        <v>68.18</v>
      </c>
      <c r="E10" s="11">
        <v>66.84</v>
      </c>
      <c r="F10" s="11">
        <v>68</v>
      </c>
      <c r="G10" s="11">
        <v>67.51</v>
      </c>
      <c r="H10" s="11">
        <v>0.49</v>
      </c>
      <c r="I10" s="11">
        <v>0.7258</v>
      </c>
      <c r="J10" s="12">
        <v>76675.83</v>
      </c>
      <c r="K10" s="13">
        <v>519214.912</v>
      </c>
      <c r="L10" t="str">
        <f>'300474.SZ_元数据'!$B$5</f>
        <v>事件库1.csv + 股票日行情CSV</v>
      </c>
      <c r="M10" t="s">
        <v>104</v>
      </c>
      <c r="N10" s="3">
        <f>'300474.SZ_元数据'!$B$4</f>
        <v>45876</v>
      </c>
      <c r="O10">
        <f t="shared" si="0"/>
        <v>9</v>
      </c>
      <c r="P10">
        <f t="shared" si="1"/>
        <v>66</v>
      </c>
      <c r="Q10">
        <f t="shared" si="2"/>
        <v>-57</v>
      </c>
      <c r="R10" t="str">
        <f t="shared" si="3"/>
        <v>事件前100个交易日</v>
      </c>
    </row>
    <row r="11" spans="1:19">
      <c r="A11" t="s">
        <v>31</v>
      </c>
      <c r="B11" s="3">
        <v>45797</v>
      </c>
      <c r="C11" s="11">
        <v>67.8</v>
      </c>
      <c r="D11" s="11">
        <v>68.13</v>
      </c>
      <c r="E11" s="11">
        <v>67.3</v>
      </c>
      <c r="F11" s="11">
        <v>67.73</v>
      </c>
      <c r="G11" s="11">
        <v>68</v>
      </c>
      <c r="H11" s="11">
        <v>-0.27</v>
      </c>
      <c r="I11" s="11">
        <v>-0.3971</v>
      </c>
      <c r="J11" s="12">
        <v>70379.34</v>
      </c>
      <c r="K11" s="13">
        <v>476461.352</v>
      </c>
      <c r="L11" t="str">
        <f>'300474.SZ_元数据'!$B$5</f>
        <v>事件库1.csv + 股票日行情CSV</v>
      </c>
      <c r="M11" t="s">
        <v>104</v>
      </c>
      <c r="N11" s="3">
        <f>'300474.SZ_元数据'!$B$4</f>
        <v>45876</v>
      </c>
      <c r="O11">
        <f t="shared" si="0"/>
        <v>10</v>
      </c>
      <c r="P11">
        <f t="shared" si="1"/>
        <v>66</v>
      </c>
      <c r="Q11">
        <f t="shared" si="2"/>
        <v>-56</v>
      </c>
      <c r="R11" t="str">
        <f t="shared" si="3"/>
        <v>事件前100个交易日</v>
      </c>
    </row>
    <row r="12" spans="1:19">
      <c r="A12" t="s">
        <v>31</v>
      </c>
      <c r="B12" s="3">
        <v>45798</v>
      </c>
      <c r="C12" s="11">
        <v>67.61</v>
      </c>
      <c r="D12" s="11">
        <v>67.87</v>
      </c>
      <c r="E12" s="11">
        <v>67</v>
      </c>
      <c r="F12" s="11">
        <v>67.06</v>
      </c>
      <c r="G12" s="11">
        <v>67.73</v>
      </c>
      <c r="H12" s="11">
        <v>-0.67</v>
      </c>
      <c r="I12" s="11">
        <v>-0.9892</v>
      </c>
      <c r="J12" s="12">
        <v>67646.26</v>
      </c>
      <c r="K12" s="13">
        <v>455340.739</v>
      </c>
      <c r="L12" t="str">
        <f>'300474.SZ_元数据'!$B$5</f>
        <v>事件库1.csv + 股票日行情CSV</v>
      </c>
      <c r="M12" t="s">
        <v>104</v>
      </c>
      <c r="N12" s="3">
        <f>'300474.SZ_元数据'!$B$4</f>
        <v>45876</v>
      </c>
      <c r="O12">
        <f t="shared" si="0"/>
        <v>11</v>
      </c>
      <c r="P12">
        <f t="shared" si="1"/>
        <v>66</v>
      </c>
      <c r="Q12">
        <f t="shared" si="2"/>
        <v>-55</v>
      </c>
      <c r="R12" t="str">
        <f t="shared" si="3"/>
        <v>事件前100个交易日</v>
      </c>
    </row>
    <row r="13" spans="1:19">
      <c r="A13" t="s">
        <v>31</v>
      </c>
      <c r="B13" s="3">
        <v>45799</v>
      </c>
      <c r="C13" s="11">
        <v>66.9</v>
      </c>
      <c r="D13" s="11">
        <v>67.8</v>
      </c>
      <c r="E13" s="11">
        <v>66.66</v>
      </c>
      <c r="F13" s="11">
        <v>66.71</v>
      </c>
      <c r="G13" s="11">
        <v>67.06</v>
      </c>
      <c r="H13" s="11">
        <v>-0.35</v>
      </c>
      <c r="I13" s="11">
        <v>-0.5219</v>
      </c>
      <c r="J13" s="12">
        <v>63228.07</v>
      </c>
      <c r="K13" s="13">
        <v>424528.161</v>
      </c>
      <c r="L13" t="str">
        <f>'300474.SZ_元数据'!$B$5</f>
        <v>事件库1.csv + 股票日行情CSV</v>
      </c>
      <c r="M13" t="s">
        <v>104</v>
      </c>
      <c r="N13" s="3">
        <f>'300474.SZ_元数据'!$B$4</f>
        <v>45876</v>
      </c>
      <c r="O13">
        <f t="shared" si="0"/>
        <v>12</v>
      </c>
      <c r="P13">
        <f t="shared" si="1"/>
        <v>66</v>
      </c>
      <c r="Q13">
        <f t="shared" si="2"/>
        <v>-54</v>
      </c>
      <c r="R13" t="str">
        <f t="shared" si="3"/>
        <v>事件前100个交易日</v>
      </c>
    </row>
    <row r="14" spans="1:19">
      <c r="A14" t="s">
        <v>31</v>
      </c>
      <c r="B14" s="3">
        <v>45800</v>
      </c>
      <c r="C14" s="11">
        <v>66.39</v>
      </c>
      <c r="D14" s="11">
        <v>67.08</v>
      </c>
      <c r="E14" s="11">
        <v>65.27</v>
      </c>
      <c r="F14" s="11">
        <v>65.35</v>
      </c>
      <c r="G14" s="11">
        <v>66.71</v>
      </c>
      <c r="H14" s="11">
        <v>-1.36</v>
      </c>
      <c r="I14" s="11">
        <v>-2.0387</v>
      </c>
      <c r="J14" s="12">
        <v>80329.58</v>
      </c>
      <c r="K14" s="13">
        <v>530686.524</v>
      </c>
      <c r="L14" t="str">
        <f>'300474.SZ_元数据'!$B$5</f>
        <v>事件库1.csv + 股票日行情CSV</v>
      </c>
      <c r="M14" t="s">
        <v>104</v>
      </c>
      <c r="N14" s="3">
        <f>'300474.SZ_元数据'!$B$4</f>
        <v>45876</v>
      </c>
      <c r="O14">
        <f t="shared" si="0"/>
        <v>13</v>
      </c>
      <c r="P14">
        <f t="shared" si="1"/>
        <v>66</v>
      </c>
      <c r="Q14">
        <f t="shared" si="2"/>
        <v>-53</v>
      </c>
      <c r="R14" t="str">
        <f t="shared" si="3"/>
        <v>事件前100个交易日</v>
      </c>
    </row>
    <row r="15" spans="1:19">
      <c r="A15" t="s">
        <v>31</v>
      </c>
      <c r="B15" s="3">
        <v>45803</v>
      </c>
      <c r="C15" s="11">
        <v>65.6</v>
      </c>
      <c r="D15" s="11">
        <v>68.66</v>
      </c>
      <c r="E15" s="11">
        <v>65.6</v>
      </c>
      <c r="F15" s="11">
        <v>67.56</v>
      </c>
      <c r="G15" s="11">
        <v>65.29</v>
      </c>
      <c r="H15" s="11">
        <v>2.27</v>
      </c>
      <c r="I15" s="11">
        <v>3.4768</v>
      </c>
      <c r="J15" s="12">
        <v>120966.51</v>
      </c>
      <c r="K15" s="13">
        <v>815158.811</v>
      </c>
      <c r="L15" t="str">
        <f>'300474.SZ_元数据'!$B$5</f>
        <v>事件库1.csv + 股票日行情CSV</v>
      </c>
      <c r="M15" t="s">
        <v>104</v>
      </c>
      <c r="N15" s="3">
        <f>'300474.SZ_元数据'!$B$4</f>
        <v>45876</v>
      </c>
      <c r="O15">
        <f t="shared" si="0"/>
        <v>14</v>
      </c>
      <c r="P15">
        <f t="shared" si="1"/>
        <v>66</v>
      </c>
      <c r="Q15">
        <f t="shared" si="2"/>
        <v>-52</v>
      </c>
      <c r="R15" t="str">
        <f t="shared" si="3"/>
        <v>事件前100个交易日</v>
      </c>
    </row>
    <row r="16" spans="1:19">
      <c r="A16" t="s">
        <v>31</v>
      </c>
      <c r="B16" s="3">
        <v>45804</v>
      </c>
      <c r="C16" s="11">
        <v>66.92</v>
      </c>
      <c r="D16" s="11">
        <v>67.26</v>
      </c>
      <c r="E16" s="11">
        <v>66.01</v>
      </c>
      <c r="F16" s="11">
        <v>66.33</v>
      </c>
      <c r="G16" s="11">
        <v>67.56</v>
      </c>
      <c r="H16" s="11">
        <v>-1.23</v>
      </c>
      <c r="I16" s="11">
        <v>-1.8206</v>
      </c>
      <c r="J16" s="12">
        <v>59576.44</v>
      </c>
      <c r="K16" s="13">
        <v>395675.247</v>
      </c>
      <c r="L16" t="str">
        <f>'300474.SZ_元数据'!$B$5</f>
        <v>事件库1.csv + 股票日行情CSV</v>
      </c>
      <c r="M16" t="s">
        <v>104</v>
      </c>
      <c r="N16" s="3">
        <f>'300474.SZ_元数据'!$B$4</f>
        <v>45876</v>
      </c>
      <c r="O16">
        <f t="shared" si="0"/>
        <v>15</v>
      </c>
      <c r="P16">
        <f t="shared" si="1"/>
        <v>66</v>
      </c>
      <c r="Q16">
        <f t="shared" si="2"/>
        <v>-51</v>
      </c>
      <c r="R16" t="str">
        <f t="shared" si="3"/>
        <v>事件前100个交易日</v>
      </c>
    </row>
    <row r="17" spans="1:18">
      <c r="A17" t="s">
        <v>31</v>
      </c>
      <c r="B17" s="3">
        <v>45805</v>
      </c>
      <c r="C17" s="11">
        <v>66.39</v>
      </c>
      <c r="D17" s="11">
        <v>66.8</v>
      </c>
      <c r="E17" s="11">
        <v>65.03</v>
      </c>
      <c r="F17" s="11">
        <v>65.12</v>
      </c>
      <c r="G17" s="11">
        <v>66.33</v>
      </c>
      <c r="H17" s="11">
        <v>-1.21</v>
      </c>
      <c r="I17" s="11">
        <v>-1.8242</v>
      </c>
      <c r="J17" s="12">
        <v>67168.86</v>
      </c>
      <c r="K17" s="13">
        <v>441301.208</v>
      </c>
      <c r="L17" t="str">
        <f>'300474.SZ_元数据'!$B$5</f>
        <v>事件库1.csv + 股票日行情CSV</v>
      </c>
      <c r="M17" t="s">
        <v>104</v>
      </c>
      <c r="N17" s="3">
        <f>'300474.SZ_元数据'!$B$4</f>
        <v>45876</v>
      </c>
      <c r="O17">
        <f t="shared" si="0"/>
        <v>16</v>
      </c>
      <c r="P17">
        <f t="shared" si="1"/>
        <v>66</v>
      </c>
      <c r="Q17">
        <f t="shared" si="2"/>
        <v>-50</v>
      </c>
      <c r="R17" t="str">
        <f t="shared" si="3"/>
        <v>事件前100个交易日</v>
      </c>
    </row>
    <row r="18" spans="1:18">
      <c r="A18" t="s">
        <v>31</v>
      </c>
      <c r="B18" s="3">
        <v>45806</v>
      </c>
      <c r="C18" s="11">
        <v>65.4</v>
      </c>
      <c r="D18" s="11">
        <v>68.24</v>
      </c>
      <c r="E18" s="11">
        <v>65.18</v>
      </c>
      <c r="F18" s="11">
        <v>67.4</v>
      </c>
      <c r="G18" s="11">
        <v>65.12</v>
      </c>
      <c r="H18" s="11">
        <v>2.28</v>
      </c>
      <c r="I18" s="11">
        <v>3.5012</v>
      </c>
      <c r="J18" s="12">
        <v>100288.05</v>
      </c>
      <c r="K18" s="13">
        <v>667148.618</v>
      </c>
      <c r="L18" t="str">
        <f>'300474.SZ_元数据'!$B$5</f>
        <v>事件库1.csv + 股票日行情CSV</v>
      </c>
      <c r="M18" t="s">
        <v>104</v>
      </c>
      <c r="N18" s="3">
        <f>'300474.SZ_元数据'!$B$4</f>
        <v>45876</v>
      </c>
      <c r="O18">
        <f t="shared" si="0"/>
        <v>17</v>
      </c>
      <c r="P18">
        <f t="shared" si="1"/>
        <v>66</v>
      </c>
      <c r="Q18">
        <f t="shared" si="2"/>
        <v>-49</v>
      </c>
      <c r="R18" t="str">
        <f t="shared" si="3"/>
        <v>事件前100个交易日</v>
      </c>
    </row>
    <row r="19" spans="1:18">
      <c r="A19" t="s">
        <v>31</v>
      </c>
      <c r="B19" s="3">
        <v>45807</v>
      </c>
      <c r="C19" s="11">
        <v>67</v>
      </c>
      <c r="D19" s="11">
        <v>67.1</v>
      </c>
      <c r="E19" s="11">
        <v>65.8</v>
      </c>
      <c r="F19" s="11">
        <v>66</v>
      </c>
      <c r="G19" s="11">
        <v>67.4</v>
      </c>
      <c r="H19" s="11">
        <v>-1.4</v>
      </c>
      <c r="I19" s="11">
        <v>-2.0772</v>
      </c>
      <c r="J19" s="12">
        <v>68447.41</v>
      </c>
      <c r="K19" s="13">
        <v>452455.597</v>
      </c>
      <c r="L19" t="str">
        <f>'300474.SZ_元数据'!$B$5</f>
        <v>事件库1.csv + 股票日行情CSV</v>
      </c>
      <c r="M19" t="s">
        <v>104</v>
      </c>
      <c r="N19" s="3">
        <f>'300474.SZ_元数据'!$B$4</f>
        <v>45876</v>
      </c>
      <c r="O19">
        <f t="shared" si="0"/>
        <v>18</v>
      </c>
      <c r="P19">
        <f t="shared" si="1"/>
        <v>66</v>
      </c>
      <c r="Q19">
        <f t="shared" si="2"/>
        <v>-48</v>
      </c>
      <c r="R19" t="str">
        <f t="shared" si="3"/>
        <v>事件前100个交易日</v>
      </c>
    </row>
    <row r="20" spans="1:18">
      <c r="A20" t="s">
        <v>31</v>
      </c>
      <c r="B20" s="3">
        <v>45811</v>
      </c>
      <c r="C20" s="11">
        <v>66</v>
      </c>
      <c r="D20" s="11">
        <v>67</v>
      </c>
      <c r="E20" s="11">
        <v>65.88</v>
      </c>
      <c r="F20" s="11">
        <v>66.36</v>
      </c>
      <c r="G20" s="11">
        <v>66</v>
      </c>
      <c r="H20" s="11">
        <v>0.36</v>
      </c>
      <c r="I20" s="11">
        <v>0.5455</v>
      </c>
      <c r="J20" s="12">
        <v>60075.3</v>
      </c>
      <c r="K20" s="13">
        <v>400047.601</v>
      </c>
      <c r="L20" t="str">
        <f>'300474.SZ_元数据'!$B$5</f>
        <v>事件库1.csv + 股票日行情CSV</v>
      </c>
      <c r="M20" t="s">
        <v>104</v>
      </c>
      <c r="N20" s="3">
        <f>'300474.SZ_元数据'!$B$4</f>
        <v>45876</v>
      </c>
      <c r="O20">
        <f t="shared" si="0"/>
        <v>19</v>
      </c>
      <c r="P20">
        <f t="shared" si="1"/>
        <v>66</v>
      </c>
      <c r="Q20">
        <f t="shared" si="2"/>
        <v>-47</v>
      </c>
      <c r="R20" t="str">
        <f t="shared" si="3"/>
        <v>事件前100个交易日</v>
      </c>
    </row>
    <row r="21" spans="1:18">
      <c r="A21" t="s">
        <v>31</v>
      </c>
      <c r="B21" s="3">
        <v>45812</v>
      </c>
      <c r="C21" s="11">
        <v>66.69</v>
      </c>
      <c r="D21" s="11">
        <v>68</v>
      </c>
      <c r="E21" s="11">
        <v>66.6</v>
      </c>
      <c r="F21" s="11">
        <v>67.69</v>
      </c>
      <c r="G21" s="11">
        <v>66.36</v>
      </c>
      <c r="H21" s="11">
        <v>1.33</v>
      </c>
      <c r="I21" s="11">
        <v>2.0042</v>
      </c>
      <c r="J21" s="12">
        <v>80946.79</v>
      </c>
      <c r="K21" s="13">
        <v>547022.641</v>
      </c>
      <c r="L21" t="str">
        <f>'300474.SZ_元数据'!$B$5</f>
        <v>事件库1.csv + 股票日行情CSV</v>
      </c>
      <c r="M21" t="s">
        <v>104</v>
      </c>
      <c r="N21" s="3">
        <f>'300474.SZ_元数据'!$B$4</f>
        <v>45876</v>
      </c>
      <c r="O21">
        <f t="shared" si="0"/>
        <v>20</v>
      </c>
      <c r="P21">
        <f t="shared" si="1"/>
        <v>66</v>
      </c>
      <c r="Q21">
        <f t="shared" si="2"/>
        <v>-46</v>
      </c>
      <c r="R21" t="str">
        <f t="shared" si="3"/>
        <v>事件前100个交易日</v>
      </c>
    </row>
    <row r="22" spans="1:18">
      <c r="A22" t="s">
        <v>31</v>
      </c>
      <c r="B22" s="3">
        <v>45813</v>
      </c>
      <c r="C22" s="11">
        <v>67.75</v>
      </c>
      <c r="D22" s="11">
        <v>69.33</v>
      </c>
      <c r="E22" s="11">
        <v>67.19</v>
      </c>
      <c r="F22" s="11">
        <v>68.89</v>
      </c>
      <c r="G22" s="11">
        <v>67.69</v>
      </c>
      <c r="H22" s="11">
        <v>1.2</v>
      </c>
      <c r="I22" s="11">
        <v>1.7728</v>
      </c>
      <c r="J22" s="12">
        <v>116869.52</v>
      </c>
      <c r="K22" s="13">
        <v>798621.156</v>
      </c>
      <c r="L22" t="str">
        <f>'300474.SZ_元数据'!$B$5</f>
        <v>事件库1.csv + 股票日行情CSV</v>
      </c>
      <c r="M22" t="s">
        <v>104</v>
      </c>
      <c r="N22" s="3">
        <f>'300474.SZ_元数据'!$B$4</f>
        <v>45876</v>
      </c>
      <c r="O22">
        <f t="shared" si="0"/>
        <v>21</v>
      </c>
      <c r="P22">
        <f t="shared" si="1"/>
        <v>66</v>
      </c>
      <c r="Q22">
        <f t="shared" si="2"/>
        <v>-45</v>
      </c>
      <c r="R22" t="str">
        <f t="shared" si="3"/>
        <v>事件前100个交易日</v>
      </c>
    </row>
    <row r="23" spans="1:18">
      <c r="A23" t="s">
        <v>31</v>
      </c>
      <c r="B23" s="3">
        <v>45814</v>
      </c>
      <c r="C23" s="11">
        <v>68.8</v>
      </c>
      <c r="D23" s="11">
        <v>72.46</v>
      </c>
      <c r="E23" s="11">
        <v>68.18</v>
      </c>
      <c r="F23" s="11">
        <v>71.99</v>
      </c>
      <c r="G23" s="11">
        <v>68.89</v>
      </c>
      <c r="H23" s="11">
        <v>3.1</v>
      </c>
      <c r="I23" s="11">
        <v>4.4999</v>
      </c>
      <c r="J23" s="12">
        <v>171402.78</v>
      </c>
      <c r="K23" s="13">
        <v>1200299.59</v>
      </c>
      <c r="L23" t="str">
        <f>'300474.SZ_元数据'!$B$5</f>
        <v>事件库1.csv + 股票日行情CSV</v>
      </c>
      <c r="M23" t="s">
        <v>104</v>
      </c>
      <c r="N23" s="3">
        <f>'300474.SZ_元数据'!$B$4</f>
        <v>45876</v>
      </c>
      <c r="O23">
        <f t="shared" si="0"/>
        <v>22</v>
      </c>
      <c r="P23">
        <f t="shared" si="1"/>
        <v>66</v>
      </c>
      <c r="Q23">
        <f t="shared" si="2"/>
        <v>-44</v>
      </c>
      <c r="R23" t="str">
        <f t="shared" si="3"/>
        <v>事件前100个交易日</v>
      </c>
    </row>
    <row r="24" spans="1:18">
      <c r="A24" t="s">
        <v>31</v>
      </c>
      <c r="B24" s="3">
        <v>45817</v>
      </c>
      <c r="C24" s="11">
        <v>71.82</v>
      </c>
      <c r="D24" s="11">
        <v>71.99</v>
      </c>
      <c r="E24" s="11">
        <v>70.61</v>
      </c>
      <c r="F24" s="11">
        <v>71.07</v>
      </c>
      <c r="G24" s="11">
        <v>71.99</v>
      </c>
      <c r="H24" s="11">
        <v>-0.92</v>
      </c>
      <c r="I24" s="11">
        <v>-1.278</v>
      </c>
      <c r="J24" s="12">
        <v>147308.24</v>
      </c>
      <c r="K24" s="13">
        <v>1047238.44</v>
      </c>
      <c r="L24" t="str">
        <f>'300474.SZ_元数据'!$B$5</f>
        <v>事件库1.csv + 股票日行情CSV</v>
      </c>
      <c r="M24" t="s">
        <v>104</v>
      </c>
      <c r="N24" s="3">
        <f>'300474.SZ_元数据'!$B$4</f>
        <v>45876</v>
      </c>
      <c r="O24">
        <f t="shared" si="0"/>
        <v>23</v>
      </c>
      <c r="P24">
        <f t="shared" si="1"/>
        <v>66</v>
      </c>
      <c r="Q24">
        <f t="shared" si="2"/>
        <v>-43</v>
      </c>
      <c r="R24" t="str">
        <f t="shared" si="3"/>
        <v>事件前100个交易日</v>
      </c>
    </row>
    <row r="25" spans="1:18">
      <c r="A25" t="s">
        <v>31</v>
      </c>
      <c r="B25" s="3">
        <v>45818</v>
      </c>
      <c r="C25" s="11">
        <v>70.98</v>
      </c>
      <c r="D25" s="11">
        <v>72.72</v>
      </c>
      <c r="E25" s="11">
        <v>69</v>
      </c>
      <c r="F25" s="11">
        <v>71.04</v>
      </c>
      <c r="G25" s="11">
        <v>71.07</v>
      </c>
      <c r="H25" s="11">
        <v>-0.03</v>
      </c>
      <c r="I25" s="11">
        <v>-0.0422</v>
      </c>
      <c r="J25" s="12">
        <v>203369.89</v>
      </c>
      <c r="K25" s="13">
        <v>1438205.374</v>
      </c>
      <c r="L25" t="str">
        <f>'300474.SZ_元数据'!$B$5</f>
        <v>事件库1.csv + 股票日行情CSV</v>
      </c>
      <c r="M25" t="s">
        <v>104</v>
      </c>
      <c r="N25" s="3">
        <f>'300474.SZ_元数据'!$B$4</f>
        <v>45876</v>
      </c>
      <c r="O25">
        <f t="shared" si="0"/>
        <v>24</v>
      </c>
      <c r="P25">
        <f t="shared" si="1"/>
        <v>66</v>
      </c>
      <c r="Q25">
        <f t="shared" si="2"/>
        <v>-42</v>
      </c>
      <c r="R25" t="str">
        <f t="shared" si="3"/>
        <v>事件前100个交易日</v>
      </c>
    </row>
    <row r="26" spans="1:18">
      <c r="A26" t="s">
        <v>31</v>
      </c>
      <c r="B26" s="3">
        <v>45819</v>
      </c>
      <c r="C26" s="11">
        <v>71.03</v>
      </c>
      <c r="D26" s="11">
        <v>72.31</v>
      </c>
      <c r="E26" s="11">
        <v>70.01</v>
      </c>
      <c r="F26" s="11">
        <v>71.1</v>
      </c>
      <c r="G26" s="11">
        <v>71.04</v>
      </c>
      <c r="H26" s="11">
        <v>0.06</v>
      </c>
      <c r="I26" s="11">
        <v>0.0845</v>
      </c>
      <c r="J26" s="12">
        <v>118844.75</v>
      </c>
      <c r="K26" s="13">
        <v>844181.772</v>
      </c>
      <c r="L26" t="str">
        <f>'300474.SZ_元数据'!$B$5</f>
        <v>事件库1.csv + 股票日行情CSV</v>
      </c>
      <c r="M26" t="s">
        <v>104</v>
      </c>
      <c r="N26" s="3">
        <f>'300474.SZ_元数据'!$B$4</f>
        <v>45876</v>
      </c>
      <c r="O26">
        <f t="shared" si="0"/>
        <v>25</v>
      </c>
      <c r="P26">
        <f t="shared" si="1"/>
        <v>66</v>
      </c>
      <c r="Q26">
        <f t="shared" si="2"/>
        <v>-41</v>
      </c>
      <c r="R26" t="str">
        <f t="shared" si="3"/>
        <v>事件前100个交易日</v>
      </c>
    </row>
    <row r="27" spans="1:18">
      <c r="A27" t="s">
        <v>31</v>
      </c>
      <c r="B27" s="3">
        <v>45820</v>
      </c>
      <c r="C27" s="11">
        <v>70.49</v>
      </c>
      <c r="D27" s="11">
        <v>72.13</v>
      </c>
      <c r="E27" s="11">
        <v>70.2</v>
      </c>
      <c r="F27" s="11">
        <v>71.15</v>
      </c>
      <c r="G27" s="11">
        <v>71.1</v>
      </c>
      <c r="H27" s="11">
        <v>0.05</v>
      </c>
      <c r="I27" s="11">
        <v>0.0703</v>
      </c>
      <c r="J27" s="12">
        <v>119802.61</v>
      </c>
      <c r="K27" s="13">
        <v>854806.977</v>
      </c>
      <c r="L27" t="str">
        <f>'300474.SZ_元数据'!$B$5</f>
        <v>事件库1.csv + 股票日行情CSV</v>
      </c>
      <c r="M27" t="s">
        <v>104</v>
      </c>
      <c r="N27" s="3">
        <f>'300474.SZ_元数据'!$B$4</f>
        <v>45876</v>
      </c>
      <c r="O27">
        <f t="shared" si="0"/>
        <v>26</v>
      </c>
      <c r="P27">
        <f t="shared" si="1"/>
        <v>66</v>
      </c>
      <c r="Q27">
        <f t="shared" si="2"/>
        <v>-40</v>
      </c>
      <c r="R27" t="str">
        <f t="shared" si="3"/>
        <v>事件前100个交易日</v>
      </c>
    </row>
    <row r="28" spans="1:18">
      <c r="A28" t="s">
        <v>31</v>
      </c>
      <c r="B28" s="3">
        <v>45821</v>
      </c>
      <c r="C28" s="11">
        <v>70.7</v>
      </c>
      <c r="D28" s="11">
        <v>74.09</v>
      </c>
      <c r="E28" s="11">
        <v>70.7</v>
      </c>
      <c r="F28" s="11">
        <v>73.04</v>
      </c>
      <c r="G28" s="11">
        <v>71.15</v>
      </c>
      <c r="H28" s="11">
        <v>1.89</v>
      </c>
      <c r="I28" s="11">
        <v>2.6564</v>
      </c>
      <c r="J28" s="12">
        <v>309677.67</v>
      </c>
      <c r="K28" s="13">
        <v>2270439.953</v>
      </c>
      <c r="L28" t="str">
        <f>'300474.SZ_元数据'!$B$5</f>
        <v>事件库1.csv + 股票日行情CSV</v>
      </c>
      <c r="M28" t="s">
        <v>104</v>
      </c>
      <c r="N28" s="3">
        <f>'300474.SZ_元数据'!$B$4</f>
        <v>45876</v>
      </c>
      <c r="O28">
        <f t="shared" si="0"/>
        <v>27</v>
      </c>
      <c r="P28">
        <f t="shared" si="1"/>
        <v>66</v>
      </c>
      <c r="Q28">
        <f t="shared" si="2"/>
        <v>-39</v>
      </c>
      <c r="R28" t="str">
        <f t="shared" si="3"/>
        <v>事件前100个交易日</v>
      </c>
    </row>
    <row r="29" spans="1:18">
      <c r="A29" t="s">
        <v>31</v>
      </c>
      <c r="B29" s="3">
        <v>45824</v>
      </c>
      <c r="C29" s="11">
        <v>72.44</v>
      </c>
      <c r="D29" s="11">
        <v>73.32</v>
      </c>
      <c r="E29" s="11">
        <v>71.58</v>
      </c>
      <c r="F29" s="11">
        <v>72.67</v>
      </c>
      <c r="G29" s="11">
        <v>73.04</v>
      </c>
      <c r="H29" s="11">
        <v>-0.37</v>
      </c>
      <c r="I29" s="11">
        <v>-0.5066</v>
      </c>
      <c r="J29" s="12">
        <v>122178.25</v>
      </c>
      <c r="K29" s="13">
        <v>884863.467</v>
      </c>
      <c r="L29" t="str">
        <f>'300474.SZ_元数据'!$B$5</f>
        <v>事件库1.csv + 股票日行情CSV</v>
      </c>
      <c r="M29" t="s">
        <v>104</v>
      </c>
      <c r="N29" s="3">
        <f>'300474.SZ_元数据'!$B$4</f>
        <v>45876</v>
      </c>
      <c r="O29">
        <f t="shared" si="0"/>
        <v>28</v>
      </c>
      <c r="P29">
        <f t="shared" si="1"/>
        <v>66</v>
      </c>
      <c r="Q29">
        <f t="shared" si="2"/>
        <v>-38</v>
      </c>
      <c r="R29" t="str">
        <f t="shared" si="3"/>
        <v>事件前100个交易日</v>
      </c>
    </row>
    <row r="30" spans="1:18">
      <c r="A30" t="s">
        <v>31</v>
      </c>
      <c r="B30" s="3">
        <v>45825</v>
      </c>
      <c r="C30" s="11">
        <v>72.95</v>
      </c>
      <c r="D30" s="11">
        <v>73.29</v>
      </c>
      <c r="E30" s="11">
        <v>70.5</v>
      </c>
      <c r="F30" s="11">
        <v>71.08</v>
      </c>
      <c r="G30" s="11">
        <v>72.67</v>
      </c>
      <c r="H30" s="11">
        <v>-1.59</v>
      </c>
      <c r="I30" s="11">
        <v>-2.188</v>
      </c>
      <c r="J30" s="12">
        <v>141696.83</v>
      </c>
      <c r="K30" s="13">
        <v>1013036.604</v>
      </c>
      <c r="L30" t="str">
        <f>'300474.SZ_元数据'!$B$5</f>
        <v>事件库1.csv + 股票日行情CSV</v>
      </c>
      <c r="M30" t="s">
        <v>104</v>
      </c>
      <c r="N30" s="3">
        <f>'300474.SZ_元数据'!$B$4</f>
        <v>45876</v>
      </c>
      <c r="O30">
        <f t="shared" si="0"/>
        <v>29</v>
      </c>
      <c r="P30">
        <f t="shared" si="1"/>
        <v>66</v>
      </c>
      <c r="Q30">
        <f t="shared" si="2"/>
        <v>-37</v>
      </c>
      <c r="R30" t="str">
        <f t="shared" si="3"/>
        <v>事件前100个交易日</v>
      </c>
    </row>
    <row r="31" spans="1:18">
      <c r="A31" t="s">
        <v>31</v>
      </c>
      <c r="B31" s="3">
        <v>45826</v>
      </c>
      <c r="C31" s="11">
        <v>70.8</v>
      </c>
      <c r="D31" s="11">
        <v>71.28</v>
      </c>
      <c r="E31" s="11">
        <v>70.22</v>
      </c>
      <c r="F31" s="11">
        <v>70.62</v>
      </c>
      <c r="G31" s="11">
        <v>71.08</v>
      </c>
      <c r="H31" s="11">
        <v>-0.46</v>
      </c>
      <c r="I31" s="11">
        <v>-0.6472</v>
      </c>
      <c r="J31" s="12">
        <v>82210.39</v>
      </c>
      <c r="K31" s="13">
        <v>580666.901</v>
      </c>
      <c r="L31" t="str">
        <f>'300474.SZ_元数据'!$B$5</f>
        <v>事件库1.csv + 股票日行情CSV</v>
      </c>
      <c r="M31" t="s">
        <v>104</v>
      </c>
      <c r="N31" s="3">
        <f>'300474.SZ_元数据'!$B$4</f>
        <v>45876</v>
      </c>
      <c r="O31">
        <f t="shared" si="0"/>
        <v>30</v>
      </c>
      <c r="P31">
        <f t="shared" si="1"/>
        <v>66</v>
      </c>
      <c r="Q31">
        <f t="shared" si="2"/>
        <v>-36</v>
      </c>
      <c r="R31" t="str">
        <f t="shared" si="3"/>
        <v>事件前100个交易日</v>
      </c>
    </row>
    <row r="32" spans="1:18">
      <c r="A32" t="s">
        <v>31</v>
      </c>
      <c r="B32" s="3">
        <v>45827</v>
      </c>
      <c r="C32" s="11">
        <v>70.02</v>
      </c>
      <c r="D32" s="11">
        <v>70.5</v>
      </c>
      <c r="E32" s="11">
        <v>68.54</v>
      </c>
      <c r="F32" s="11">
        <v>69.12</v>
      </c>
      <c r="G32" s="11">
        <v>70.62</v>
      </c>
      <c r="H32" s="11">
        <v>-1.5</v>
      </c>
      <c r="I32" s="11">
        <v>-2.124</v>
      </c>
      <c r="J32" s="12">
        <v>101752.15</v>
      </c>
      <c r="K32" s="13">
        <v>706288.143</v>
      </c>
      <c r="L32" t="str">
        <f>'300474.SZ_元数据'!$B$5</f>
        <v>事件库1.csv + 股票日行情CSV</v>
      </c>
      <c r="M32" t="s">
        <v>104</v>
      </c>
      <c r="N32" s="3">
        <f>'300474.SZ_元数据'!$B$4</f>
        <v>45876</v>
      </c>
      <c r="O32">
        <f t="shared" si="0"/>
        <v>31</v>
      </c>
      <c r="P32">
        <f t="shared" si="1"/>
        <v>66</v>
      </c>
      <c r="Q32">
        <f t="shared" si="2"/>
        <v>-35</v>
      </c>
      <c r="R32" t="str">
        <f t="shared" si="3"/>
        <v>事件前100个交易日</v>
      </c>
    </row>
    <row r="33" spans="1:18">
      <c r="A33" t="s">
        <v>31</v>
      </c>
      <c r="B33" s="3">
        <v>45828</v>
      </c>
      <c r="C33" s="11">
        <v>69.11</v>
      </c>
      <c r="D33" s="11">
        <v>69.73</v>
      </c>
      <c r="E33" s="11">
        <v>67.73</v>
      </c>
      <c r="F33" s="11">
        <v>67.83</v>
      </c>
      <c r="G33" s="11">
        <v>69.12</v>
      </c>
      <c r="H33" s="11">
        <v>-1.29</v>
      </c>
      <c r="I33" s="11">
        <v>-1.8663</v>
      </c>
      <c r="J33" s="12">
        <v>69503.29</v>
      </c>
      <c r="K33" s="13">
        <v>475102.14</v>
      </c>
      <c r="L33" t="str">
        <f>'300474.SZ_元数据'!$B$5</f>
        <v>事件库1.csv + 股票日行情CSV</v>
      </c>
      <c r="M33" t="s">
        <v>104</v>
      </c>
      <c r="N33" s="3">
        <f>'300474.SZ_元数据'!$B$4</f>
        <v>45876</v>
      </c>
      <c r="O33">
        <f t="shared" si="0"/>
        <v>32</v>
      </c>
      <c r="P33">
        <f t="shared" si="1"/>
        <v>66</v>
      </c>
      <c r="Q33">
        <f t="shared" si="2"/>
        <v>-34</v>
      </c>
      <c r="R33" t="str">
        <f t="shared" si="3"/>
        <v>事件前100个交易日</v>
      </c>
    </row>
    <row r="34" spans="1:18">
      <c r="A34" t="s">
        <v>31</v>
      </c>
      <c r="B34" s="3">
        <v>45831</v>
      </c>
      <c r="C34" s="11">
        <v>67.51</v>
      </c>
      <c r="D34" s="11">
        <v>69.19</v>
      </c>
      <c r="E34" s="11">
        <v>67.2</v>
      </c>
      <c r="F34" s="11">
        <v>68.89</v>
      </c>
      <c r="G34" s="11">
        <v>67.83</v>
      </c>
      <c r="H34" s="11">
        <v>1.06</v>
      </c>
      <c r="I34" s="11">
        <v>1.5627</v>
      </c>
      <c r="J34" s="12">
        <v>67672.82</v>
      </c>
      <c r="K34" s="13">
        <v>464067.679</v>
      </c>
      <c r="L34" t="str">
        <f>'300474.SZ_元数据'!$B$5</f>
        <v>事件库1.csv + 股票日行情CSV</v>
      </c>
      <c r="M34" t="s">
        <v>104</v>
      </c>
      <c r="N34" s="3">
        <f>'300474.SZ_元数据'!$B$4</f>
        <v>45876</v>
      </c>
      <c r="O34">
        <f t="shared" si="0"/>
        <v>33</v>
      </c>
      <c r="P34">
        <f t="shared" si="1"/>
        <v>66</v>
      </c>
      <c r="Q34">
        <f t="shared" si="2"/>
        <v>-33</v>
      </c>
      <c r="R34" t="str">
        <f t="shared" si="3"/>
        <v>事件前100个交易日</v>
      </c>
    </row>
    <row r="35" spans="1:18">
      <c r="A35" t="s">
        <v>31</v>
      </c>
      <c r="B35" s="3">
        <v>45832</v>
      </c>
      <c r="C35" s="11">
        <v>68.74</v>
      </c>
      <c r="D35" s="11">
        <v>71.3</v>
      </c>
      <c r="E35" s="11">
        <v>68.66</v>
      </c>
      <c r="F35" s="11">
        <v>70.53</v>
      </c>
      <c r="G35" s="11">
        <v>68.89</v>
      </c>
      <c r="H35" s="11">
        <v>1.64</v>
      </c>
      <c r="I35" s="11">
        <v>2.3806</v>
      </c>
      <c r="J35" s="12">
        <v>102098.08</v>
      </c>
      <c r="K35" s="13">
        <v>718201.48</v>
      </c>
      <c r="L35" t="str">
        <f>'300474.SZ_元数据'!$B$5</f>
        <v>事件库1.csv + 股票日行情CSV</v>
      </c>
      <c r="M35" t="s">
        <v>104</v>
      </c>
      <c r="N35" s="3">
        <f>'300474.SZ_元数据'!$B$4</f>
        <v>45876</v>
      </c>
      <c r="O35">
        <f t="shared" si="0"/>
        <v>34</v>
      </c>
      <c r="P35">
        <f t="shared" si="1"/>
        <v>66</v>
      </c>
      <c r="Q35">
        <f t="shared" si="2"/>
        <v>-32</v>
      </c>
      <c r="R35" t="str">
        <f t="shared" si="3"/>
        <v>事件前100个交易日</v>
      </c>
    </row>
    <row r="36" spans="1:18">
      <c r="A36" t="s">
        <v>31</v>
      </c>
      <c r="B36" s="3">
        <v>45833</v>
      </c>
      <c r="C36" s="11">
        <v>71.04</v>
      </c>
      <c r="D36" s="11">
        <v>72.08</v>
      </c>
      <c r="E36" s="11">
        <v>70.32</v>
      </c>
      <c r="F36" s="11">
        <v>72</v>
      </c>
      <c r="G36" s="11">
        <v>70.53</v>
      </c>
      <c r="H36" s="11">
        <v>1.47</v>
      </c>
      <c r="I36" s="11">
        <v>2.0842</v>
      </c>
      <c r="J36" s="12">
        <v>131152.48</v>
      </c>
      <c r="K36" s="13">
        <v>934793.95</v>
      </c>
      <c r="L36" t="str">
        <f>'300474.SZ_元数据'!$B$5</f>
        <v>事件库1.csv + 股票日行情CSV</v>
      </c>
      <c r="M36" t="s">
        <v>104</v>
      </c>
      <c r="N36" s="3">
        <f>'300474.SZ_元数据'!$B$4</f>
        <v>45876</v>
      </c>
      <c r="O36">
        <f t="shared" si="0"/>
        <v>35</v>
      </c>
      <c r="P36">
        <f t="shared" si="1"/>
        <v>66</v>
      </c>
      <c r="Q36">
        <f t="shared" si="2"/>
        <v>-31</v>
      </c>
      <c r="R36" t="str">
        <f t="shared" si="3"/>
        <v>事件前100个交易日</v>
      </c>
    </row>
    <row r="37" spans="1:18">
      <c r="A37" t="s">
        <v>31</v>
      </c>
      <c r="B37" s="3">
        <v>45834</v>
      </c>
      <c r="C37" s="11">
        <v>72.14</v>
      </c>
      <c r="D37" s="11">
        <v>74.88</v>
      </c>
      <c r="E37" s="11">
        <v>71.83</v>
      </c>
      <c r="F37" s="11">
        <v>71.84</v>
      </c>
      <c r="G37" s="11">
        <v>72</v>
      </c>
      <c r="H37" s="11">
        <v>-0.16</v>
      </c>
      <c r="I37" s="11">
        <v>-0.2222</v>
      </c>
      <c r="J37" s="12">
        <v>208926.42</v>
      </c>
      <c r="K37" s="13">
        <v>1530787.05</v>
      </c>
      <c r="L37" t="str">
        <f>'300474.SZ_元数据'!$B$5</f>
        <v>事件库1.csv + 股票日行情CSV</v>
      </c>
      <c r="M37" t="s">
        <v>104</v>
      </c>
      <c r="N37" s="3">
        <f>'300474.SZ_元数据'!$B$4</f>
        <v>45876</v>
      </c>
      <c r="O37">
        <f t="shared" si="0"/>
        <v>36</v>
      </c>
      <c r="P37">
        <f t="shared" si="1"/>
        <v>66</v>
      </c>
      <c r="Q37">
        <f t="shared" si="2"/>
        <v>-30</v>
      </c>
      <c r="R37" t="str">
        <f t="shared" si="3"/>
        <v>事件前100个交易日</v>
      </c>
    </row>
    <row r="38" spans="1:18">
      <c r="A38" t="s">
        <v>31</v>
      </c>
      <c r="B38" s="3">
        <v>45835</v>
      </c>
      <c r="C38" s="11">
        <v>73.99</v>
      </c>
      <c r="D38" s="11">
        <v>74.09</v>
      </c>
      <c r="E38" s="11">
        <v>72.03</v>
      </c>
      <c r="F38" s="11">
        <v>72.3</v>
      </c>
      <c r="G38" s="11">
        <v>71.84</v>
      </c>
      <c r="H38" s="11">
        <v>0.46</v>
      </c>
      <c r="I38" s="11">
        <v>0.6403</v>
      </c>
      <c r="J38" s="12">
        <v>183957.71</v>
      </c>
      <c r="K38" s="13">
        <v>1344632.338</v>
      </c>
      <c r="L38" t="str">
        <f>'300474.SZ_元数据'!$B$5</f>
        <v>事件库1.csv + 股票日行情CSV</v>
      </c>
      <c r="M38" t="s">
        <v>104</v>
      </c>
      <c r="N38" s="3">
        <f>'300474.SZ_元数据'!$B$4</f>
        <v>45876</v>
      </c>
      <c r="O38">
        <f t="shared" si="0"/>
        <v>37</v>
      </c>
      <c r="P38">
        <f t="shared" si="1"/>
        <v>66</v>
      </c>
      <c r="Q38">
        <f t="shared" si="2"/>
        <v>-29</v>
      </c>
      <c r="R38" t="str">
        <f t="shared" si="3"/>
        <v>事件前100个交易日</v>
      </c>
    </row>
    <row r="39" spans="1:18">
      <c r="A39" t="s">
        <v>31</v>
      </c>
      <c r="B39" s="3">
        <v>45838</v>
      </c>
      <c r="C39" s="11">
        <v>72.95</v>
      </c>
      <c r="D39" s="11">
        <v>73.49</v>
      </c>
      <c r="E39" s="11">
        <v>72.34</v>
      </c>
      <c r="F39" s="11">
        <v>73</v>
      </c>
      <c r="G39" s="11">
        <v>72.3</v>
      </c>
      <c r="H39" s="11">
        <v>0.7</v>
      </c>
      <c r="I39" s="11">
        <v>0.9682</v>
      </c>
      <c r="J39" s="12">
        <v>130058.27</v>
      </c>
      <c r="K39" s="13">
        <v>949900.121</v>
      </c>
      <c r="L39" t="str">
        <f>'300474.SZ_元数据'!$B$5</f>
        <v>事件库1.csv + 股票日行情CSV</v>
      </c>
      <c r="M39" t="s">
        <v>104</v>
      </c>
      <c r="N39" s="3">
        <f>'300474.SZ_元数据'!$B$4</f>
        <v>45876</v>
      </c>
      <c r="O39">
        <f t="shared" si="0"/>
        <v>38</v>
      </c>
      <c r="P39">
        <f t="shared" si="1"/>
        <v>66</v>
      </c>
      <c r="Q39">
        <f t="shared" si="2"/>
        <v>-28</v>
      </c>
      <c r="R39" t="str">
        <f t="shared" si="3"/>
        <v>事件前100个交易日</v>
      </c>
    </row>
    <row r="40" spans="1:18">
      <c r="A40" t="s">
        <v>31</v>
      </c>
      <c r="B40" s="3">
        <v>45839</v>
      </c>
      <c r="C40" s="11">
        <v>72.84</v>
      </c>
      <c r="D40" s="11">
        <v>73.77</v>
      </c>
      <c r="E40" s="11">
        <v>72.25</v>
      </c>
      <c r="F40" s="11">
        <v>72.6</v>
      </c>
      <c r="G40" s="11">
        <v>73</v>
      </c>
      <c r="H40" s="11">
        <v>-0.4</v>
      </c>
      <c r="I40" s="11">
        <v>-0.5479</v>
      </c>
      <c r="J40" s="12">
        <v>115040.08</v>
      </c>
      <c r="K40" s="13">
        <v>837900.437</v>
      </c>
      <c r="L40" t="str">
        <f>'300474.SZ_元数据'!$B$5</f>
        <v>事件库1.csv + 股票日行情CSV</v>
      </c>
      <c r="M40" t="s">
        <v>104</v>
      </c>
      <c r="N40" s="3">
        <f>'300474.SZ_元数据'!$B$4</f>
        <v>45876</v>
      </c>
      <c r="O40">
        <f t="shared" si="0"/>
        <v>39</v>
      </c>
      <c r="P40">
        <f t="shared" si="1"/>
        <v>66</v>
      </c>
      <c r="Q40">
        <f t="shared" si="2"/>
        <v>-27</v>
      </c>
      <c r="R40" t="str">
        <f t="shared" si="3"/>
        <v>事件前100个交易日</v>
      </c>
    </row>
    <row r="41" spans="1:18">
      <c r="A41" t="s">
        <v>31</v>
      </c>
      <c r="B41" s="3">
        <v>45840</v>
      </c>
      <c r="C41" s="11">
        <v>72.06</v>
      </c>
      <c r="D41" s="11">
        <v>74.35</v>
      </c>
      <c r="E41" s="11">
        <v>71.03</v>
      </c>
      <c r="F41" s="11">
        <v>71.84</v>
      </c>
      <c r="G41" s="11">
        <v>72.6</v>
      </c>
      <c r="H41" s="11">
        <v>-0.76</v>
      </c>
      <c r="I41" s="11">
        <v>-1.0468</v>
      </c>
      <c r="J41" s="12">
        <v>119777.07</v>
      </c>
      <c r="K41" s="13">
        <v>865347.552</v>
      </c>
      <c r="L41" t="str">
        <f>'300474.SZ_元数据'!$B$5</f>
        <v>事件库1.csv + 股票日行情CSV</v>
      </c>
      <c r="M41" t="s">
        <v>104</v>
      </c>
      <c r="N41" s="3">
        <f>'300474.SZ_元数据'!$B$4</f>
        <v>45876</v>
      </c>
      <c r="O41">
        <f t="shared" si="0"/>
        <v>40</v>
      </c>
      <c r="P41">
        <f t="shared" si="1"/>
        <v>66</v>
      </c>
      <c r="Q41">
        <f t="shared" si="2"/>
        <v>-26</v>
      </c>
      <c r="R41" t="str">
        <f t="shared" si="3"/>
        <v>事件前100个交易日</v>
      </c>
    </row>
    <row r="42" spans="1:18">
      <c r="A42" t="s">
        <v>31</v>
      </c>
      <c r="B42" s="3">
        <v>45841</v>
      </c>
      <c r="C42" s="11">
        <v>72.22</v>
      </c>
      <c r="D42" s="11">
        <v>72.46</v>
      </c>
      <c r="E42" s="11">
        <v>71.29</v>
      </c>
      <c r="F42" s="11">
        <v>72</v>
      </c>
      <c r="G42" s="11">
        <v>71.84</v>
      </c>
      <c r="H42" s="11">
        <v>0.16</v>
      </c>
      <c r="I42" s="11">
        <v>0.2227</v>
      </c>
      <c r="J42" s="12">
        <v>75629.01</v>
      </c>
      <c r="K42" s="13">
        <v>543368.067</v>
      </c>
      <c r="L42" t="str">
        <f>'300474.SZ_元数据'!$B$5</f>
        <v>事件库1.csv + 股票日行情CSV</v>
      </c>
      <c r="M42" t="s">
        <v>104</v>
      </c>
      <c r="N42" s="3">
        <f>'300474.SZ_元数据'!$B$4</f>
        <v>45876</v>
      </c>
      <c r="O42">
        <f t="shared" si="0"/>
        <v>41</v>
      </c>
      <c r="P42">
        <f t="shared" si="1"/>
        <v>66</v>
      </c>
      <c r="Q42">
        <f t="shared" si="2"/>
        <v>-25</v>
      </c>
      <c r="R42" t="str">
        <f t="shared" si="3"/>
        <v>事件前100个交易日</v>
      </c>
    </row>
    <row r="43" spans="1:18">
      <c r="A43" t="s">
        <v>31</v>
      </c>
      <c r="B43" s="3">
        <v>45842</v>
      </c>
      <c r="C43" s="11">
        <v>71.98</v>
      </c>
      <c r="D43" s="11">
        <v>71.98</v>
      </c>
      <c r="E43" s="11">
        <v>70.7</v>
      </c>
      <c r="F43" s="11">
        <v>70.94</v>
      </c>
      <c r="G43" s="11">
        <v>72</v>
      </c>
      <c r="H43" s="11">
        <v>-1.06</v>
      </c>
      <c r="I43" s="11">
        <v>-1.4722</v>
      </c>
      <c r="J43" s="12">
        <v>89329.61</v>
      </c>
      <c r="K43" s="13">
        <v>635741.058</v>
      </c>
      <c r="L43" t="str">
        <f>'300474.SZ_元数据'!$B$5</f>
        <v>事件库1.csv + 股票日行情CSV</v>
      </c>
      <c r="M43" t="s">
        <v>104</v>
      </c>
      <c r="N43" s="3">
        <f>'300474.SZ_元数据'!$B$4</f>
        <v>45876</v>
      </c>
      <c r="O43">
        <f t="shared" si="0"/>
        <v>42</v>
      </c>
      <c r="P43">
        <f t="shared" si="1"/>
        <v>66</v>
      </c>
      <c r="Q43">
        <f t="shared" si="2"/>
        <v>-24</v>
      </c>
      <c r="R43" t="str">
        <f t="shared" si="3"/>
        <v>事件前100个交易日</v>
      </c>
    </row>
    <row r="44" spans="1:18">
      <c r="A44" t="s">
        <v>31</v>
      </c>
      <c r="B44" s="3">
        <v>45845</v>
      </c>
      <c r="C44" s="11">
        <v>70.75</v>
      </c>
      <c r="D44" s="11">
        <v>71.5</v>
      </c>
      <c r="E44" s="11">
        <v>70</v>
      </c>
      <c r="F44" s="11">
        <v>71.18</v>
      </c>
      <c r="G44" s="11">
        <v>70.94</v>
      </c>
      <c r="H44" s="11">
        <v>0.24</v>
      </c>
      <c r="I44" s="11">
        <v>0.3383</v>
      </c>
      <c r="J44" s="12">
        <v>66307.39</v>
      </c>
      <c r="K44" s="13">
        <v>469129.772</v>
      </c>
      <c r="L44" t="str">
        <f>'300474.SZ_元数据'!$B$5</f>
        <v>事件库1.csv + 股票日行情CSV</v>
      </c>
      <c r="M44" t="s">
        <v>104</v>
      </c>
      <c r="N44" s="3">
        <f>'300474.SZ_元数据'!$B$4</f>
        <v>45876</v>
      </c>
      <c r="O44">
        <f t="shared" si="0"/>
        <v>43</v>
      </c>
      <c r="P44">
        <f t="shared" si="1"/>
        <v>66</v>
      </c>
      <c r="Q44">
        <f t="shared" si="2"/>
        <v>-23</v>
      </c>
      <c r="R44" t="str">
        <f t="shared" si="3"/>
        <v>事件前100个交易日</v>
      </c>
    </row>
    <row r="45" spans="1:18">
      <c r="A45" t="s">
        <v>31</v>
      </c>
      <c r="B45" s="3">
        <v>45846</v>
      </c>
      <c r="C45" s="11">
        <v>71.17</v>
      </c>
      <c r="D45" s="11">
        <v>71.61</v>
      </c>
      <c r="E45" s="11">
        <v>70.68</v>
      </c>
      <c r="F45" s="11">
        <v>71.46</v>
      </c>
      <c r="G45" s="11">
        <v>71.18</v>
      </c>
      <c r="H45" s="11">
        <v>0.28</v>
      </c>
      <c r="I45" s="11">
        <v>0.3934</v>
      </c>
      <c r="J45" s="12">
        <v>70305.47</v>
      </c>
      <c r="K45" s="13">
        <v>501285.509</v>
      </c>
      <c r="L45" t="str">
        <f>'300474.SZ_元数据'!$B$5</f>
        <v>事件库1.csv + 股票日行情CSV</v>
      </c>
      <c r="M45" t="s">
        <v>104</v>
      </c>
      <c r="N45" s="3">
        <f>'300474.SZ_元数据'!$B$4</f>
        <v>45876</v>
      </c>
      <c r="O45">
        <f t="shared" si="0"/>
        <v>44</v>
      </c>
      <c r="P45">
        <f t="shared" si="1"/>
        <v>66</v>
      </c>
      <c r="Q45">
        <f t="shared" si="2"/>
        <v>-22</v>
      </c>
      <c r="R45" t="str">
        <f t="shared" si="3"/>
        <v>事件前100个交易日</v>
      </c>
    </row>
    <row r="46" spans="1:18">
      <c r="A46" t="s">
        <v>31</v>
      </c>
      <c r="B46" s="3">
        <v>45847</v>
      </c>
      <c r="C46" s="11">
        <v>71.38</v>
      </c>
      <c r="D46" s="11">
        <v>71.45</v>
      </c>
      <c r="E46" s="11">
        <v>70.58</v>
      </c>
      <c r="F46" s="11">
        <v>70.92</v>
      </c>
      <c r="G46" s="11">
        <v>71.46</v>
      </c>
      <c r="H46" s="11">
        <v>-0.54</v>
      </c>
      <c r="I46" s="11">
        <v>-0.7557</v>
      </c>
      <c r="J46" s="12">
        <v>69749.17</v>
      </c>
      <c r="K46" s="13">
        <v>495503.395</v>
      </c>
      <c r="L46" t="str">
        <f>'300474.SZ_元数据'!$B$5</f>
        <v>事件库1.csv + 股票日行情CSV</v>
      </c>
      <c r="M46" t="s">
        <v>104</v>
      </c>
      <c r="N46" s="3">
        <f>'300474.SZ_元数据'!$B$4</f>
        <v>45876</v>
      </c>
      <c r="O46">
        <f t="shared" si="0"/>
        <v>45</v>
      </c>
      <c r="P46">
        <f t="shared" si="1"/>
        <v>66</v>
      </c>
      <c r="Q46">
        <f t="shared" si="2"/>
        <v>-21</v>
      </c>
      <c r="R46" t="str">
        <f t="shared" si="3"/>
        <v>事件前100个交易日</v>
      </c>
    </row>
    <row r="47" spans="1:18">
      <c r="A47" t="s">
        <v>31</v>
      </c>
      <c r="B47" s="3">
        <v>45848</v>
      </c>
      <c r="C47" s="11">
        <v>70.2</v>
      </c>
      <c r="D47" s="11">
        <v>72.5</v>
      </c>
      <c r="E47" s="11">
        <v>70.2</v>
      </c>
      <c r="F47" s="11">
        <v>71.92</v>
      </c>
      <c r="G47" s="11">
        <v>70.92</v>
      </c>
      <c r="H47" s="11">
        <v>1</v>
      </c>
      <c r="I47" s="11">
        <v>1.41</v>
      </c>
      <c r="J47" s="12">
        <v>109673.96</v>
      </c>
      <c r="K47" s="13">
        <v>783819.869</v>
      </c>
      <c r="L47" t="str">
        <f>'300474.SZ_元数据'!$B$5</f>
        <v>事件库1.csv + 股票日行情CSV</v>
      </c>
      <c r="M47" t="s">
        <v>104</v>
      </c>
      <c r="N47" s="3">
        <f>'300474.SZ_元数据'!$B$4</f>
        <v>45876</v>
      </c>
      <c r="O47">
        <f t="shared" si="0"/>
        <v>46</v>
      </c>
      <c r="P47">
        <f t="shared" si="1"/>
        <v>66</v>
      </c>
      <c r="Q47">
        <f t="shared" si="2"/>
        <v>-20</v>
      </c>
      <c r="R47" t="str">
        <f t="shared" si="3"/>
        <v>事件前100个交易日</v>
      </c>
    </row>
    <row r="48" spans="1:18">
      <c r="A48" t="s">
        <v>31</v>
      </c>
      <c r="B48" s="3">
        <v>45849</v>
      </c>
      <c r="C48" s="11">
        <v>71.71</v>
      </c>
      <c r="D48" s="11">
        <v>72.99</v>
      </c>
      <c r="E48" s="11">
        <v>71.26</v>
      </c>
      <c r="F48" s="11">
        <v>72.43</v>
      </c>
      <c r="G48" s="11">
        <v>71.92</v>
      </c>
      <c r="H48" s="11">
        <v>0.51</v>
      </c>
      <c r="I48" s="11">
        <v>0.7091</v>
      </c>
      <c r="J48" s="12">
        <v>100054.37</v>
      </c>
      <c r="K48" s="13">
        <v>724209.296</v>
      </c>
      <c r="L48" t="str">
        <f>'300474.SZ_元数据'!$B$5</f>
        <v>事件库1.csv + 股票日行情CSV</v>
      </c>
      <c r="M48" t="s">
        <v>104</v>
      </c>
      <c r="N48" s="3">
        <f>'300474.SZ_元数据'!$B$4</f>
        <v>45876</v>
      </c>
      <c r="O48">
        <f t="shared" si="0"/>
        <v>47</v>
      </c>
      <c r="P48">
        <f t="shared" si="1"/>
        <v>66</v>
      </c>
      <c r="Q48">
        <f t="shared" si="2"/>
        <v>-19</v>
      </c>
      <c r="R48" t="str">
        <f t="shared" si="3"/>
        <v>事件前100个交易日</v>
      </c>
    </row>
    <row r="49" spans="1:18">
      <c r="A49" t="s">
        <v>31</v>
      </c>
      <c r="B49" s="3">
        <v>45852</v>
      </c>
      <c r="C49" s="11">
        <v>72.2</v>
      </c>
      <c r="D49" s="11">
        <v>72.6</v>
      </c>
      <c r="E49" s="11">
        <v>71.16</v>
      </c>
      <c r="F49" s="11">
        <v>71.51</v>
      </c>
      <c r="G49" s="11">
        <v>72.43</v>
      </c>
      <c r="H49" s="11">
        <v>-0.92</v>
      </c>
      <c r="I49" s="11">
        <v>-1.2702</v>
      </c>
      <c r="J49" s="12">
        <v>76552.64</v>
      </c>
      <c r="K49" s="13">
        <v>549564.479</v>
      </c>
      <c r="L49" t="str">
        <f>'300474.SZ_元数据'!$B$5</f>
        <v>事件库1.csv + 股票日行情CSV</v>
      </c>
      <c r="M49" t="s">
        <v>104</v>
      </c>
      <c r="N49" s="3">
        <f>'300474.SZ_元数据'!$B$4</f>
        <v>45876</v>
      </c>
      <c r="O49">
        <f t="shared" si="0"/>
        <v>48</v>
      </c>
      <c r="P49">
        <f t="shared" si="1"/>
        <v>66</v>
      </c>
      <c r="Q49">
        <f t="shared" si="2"/>
        <v>-18</v>
      </c>
      <c r="R49" t="str">
        <f t="shared" si="3"/>
        <v>事件前100个交易日</v>
      </c>
    </row>
    <row r="50" spans="1:18">
      <c r="A50" t="s">
        <v>31</v>
      </c>
      <c r="B50" s="3">
        <v>45853</v>
      </c>
      <c r="C50" s="11">
        <v>71.05</v>
      </c>
      <c r="D50" s="11">
        <v>71.68</v>
      </c>
      <c r="E50" s="11">
        <v>70.37</v>
      </c>
      <c r="F50" s="11">
        <v>70.9</v>
      </c>
      <c r="G50" s="11">
        <v>71.51</v>
      </c>
      <c r="H50" s="11">
        <v>-0.61</v>
      </c>
      <c r="I50" s="11">
        <v>-0.853</v>
      </c>
      <c r="J50" s="12">
        <v>81849.7</v>
      </c>
      <c r="K50" s="13">
        <v>580520.489</v>
      </c>
      <c r="L50" t="str">
        <f>'300474.SZ_元数据'!$B$5</f>
        <v>事件库1.csv + 股票日行情CSV</v>
      </c>
      <c r="M50" t="s">
        <v>104</v>
      </c>
      <c r="N50" s="3">
        <f>'300474.SZ_元数据'!$B$4</f>
        <v>45876</v>
      </c>
      <c r="O50">
        <f t="shared" si="0"/>
        <v>49</v>
      </c>
      <c r="P50">
        <f t="shared" si="1"/>
        <v>66</v>
      </c>
      <c r="Q50">
        <f t="shared" si="2"/>
        <v>-17</v>
      </c>
      <c r="R50" t="str">
        <f t="shared" si="3"/>
        <v>事件前100个交易日</v>
      </c>
    </row>
    <row r="51" spans="1:18">
      <c r="A51" t="s">
        <v>31</v>
      </c>
      <c r="B51" s="3">
        <v>45854</v>
      </c>
      <c r="C51" s="11">
        <v>70.97</v>
      </c>
      <c r="D51" s="11">
        <v>76.8</v>
      </c>
      <c r="E51" s="11">
        <v>70.97</v>
      </c>
      <c r="F51" s="11">
        <v>74.34</v>
      </c>
      <c r="G51" s="11">
        <v>70.9</v>
      </c>
      <c r="H51" s="11">
        <v>3.44</v>
      </c>
      <c r="I51" s="11">
        <v>4.8519</v>
      </c>
      <c r="J51" s="12">
        <v>313961.51</v>
      </c>
      <c r="K51" s="13">
        <v>2355735.573</v>
      </c>
      <c r="L51" t="str">
        <f>'300474.SZ_元数据'!$B$5</f>
        <v>事件库1.csv + 股票日行情CSV</v>
      </c>
      <c r="M51" t="s">
        <v>104</v>
      </c>
      <c r="N51" s="3">
        <f>'300474.SZ_元数据'!$B$4</f>
        <v>45876</v>
      </c>
      <c r="O51">
        <f t="shared" si="0"/>
        <v>50</v>
      </c>
      <c r="P51">
        <f t="shared" si="1"/>
        <v>66</v>
      </c>
      <c r="Q51">
        <f t="shared" si="2"/>
        <v>-16</v>
      </c>
      <c r="R51" t="str">
        <f t="shared" si="3"/>
        <v>事件前100个交易日</v>
      </c>
    </row>
    <row r="52" spans="1:18">
      <c r="A52" t="s">
        <v>31</v>
      </c>
      <c r="B52" s="3">
        <v>45855</v>
      </c>
      <c r="C52" s="11">
        <v>73.51</v>
      </c>
      <c r="D52" s="11">
        <v>74.88</v>
      </c>
      <c r="E52" s="11">
        <v>72.8</v>
      </c>
      <c r="F52" s="11">
        <v>74.66</v>
      </c>
      <c r="G52" s="11">
        <v>74.34</v>
      </c>
      <c r="H52" s="11">
        <v>0.32</v>
      </c>
      <c r="I52" s="11">
        <v>0.4305</v>
      </c>
      <c r="J52" s="12">
        <v>166501.11</v>
      </c>
      <c r="K52" s="13">
        <v>1228975.289</v>
      </c>
      <c r="L52" t="str">
        <f>'300474.SZ_元数据'!$B$5</f>
        <v>事件库1.csv + 股票日行情CSV</v>
      </c>
      <c r="M52" t="s">
        <v>104</v>
      </c>
      <c r="N52" s="3">
        <f>'300474.SZ_元数据'!$B$4</f>
        <v>45876</v>
      </c>
      <c r="O52">
        <f t="shared" si="0"/>
        <v>51</v>
      </c>
      <c r="P52">
        <f t="shared" si="1"/>
        <v>66</v>
      </c>
      <c r="Q52">
        <f t="shared" si="2"/>
        <v>-15</v>
      </c>
      <c r="R52" t="str">
        <f t="shared" si="3"/>
        <v>事件前100个交易日</v>
      </c>
    </row>
    <row r="53" spans="1:18">
      <c r="A53" t="s">
        <v>31</v>
      </c>
      <c r="B53" s="3">
        <v>45856</v>
      </c>
      <c r="C53" s="11">
        <v>74.72</v>
      </c>
      <c r="D53" s="11">
        <v>75.3</v>
      </c>
      <c r="E53" s="11">
        <v>74.01</v>
      </c>
      <c r="F53" s="11">
        <v>74.3</v>
      </c>
      <c r="G53" s="11">
        <v>74.66</v>
      </c>
      <c r="H53" s="11">
        <v>-0.36</v>
      </c>
      <c r="I53" s="11">
        <v>-0.4822</v>
      </c>
      <c r="J53" s="12">
        <v>94100.38</v>
      </c>
      <c r="K53" s="13">
        <v>700946.563</v>
      </c>
      <c r="L53" t="str">
        <f>'300474.SZ_元数据'!$B$5</f>
        <v>事件库1.csv + 股票日行情CSV</v>
      </c>
      <c r="M53" t="s">
        <v>104</v>
      </c>
      <c r="N53" s="3">
        <f>'300474.SZ_元数据'!$B$4</f>
        <v>45876</v>
      </c>
      <c r="O53">
        <f t="shared" si="0"/>
        <v>52</v>
      </c>
      <c r="P53">
        <f t="shared" si="1"/>
        <v>66</v>
      </c>
      <c r="Q53">
        <f t="shared" si="2"/>
        <v>-14</v>
      </c>
      <c r="R53" t="str">
        <f t="shared" si="3"/>
        <v>事件前100个交易日</v>
      </c>
    </row>
    <row r="54" spans="1:18">
      <c r="A54" t="s">
        <v>31</v>
      </c>
      <c r="B54" s="3">
        <v>45859</v>
      </c>
      <c r="C54" s="11">
        <v>74.1</v>
      </c>
      <c r="D54" s="11">
        <v>74.33</v>
      </c>
      <c r="E54" s="11">
        <v>73.37</v>
      </c>
      <c r="F54" s="11">
        <v>73.66</v>
      </c>
      <c r="G54" s="11">
        <v>74.3</v>
      </c>
      <c r="H54" s="11">
        <v>-0.64</v>
      </c>
      <c r="I54" s="11">
        <v>-0.8614</v>
      </c>
      <c r="J54" s="12">
        <v>88123.91</v>
      </c>
      <c r="K54" s="13">
        <v>650157.644</v>
      </c>
      <c r="L54" t="str">
        <f>'300474.SZ_元数据'!$B$5</f>
        <v>事件库1.csv + 股票日行情CSV</v>
      </c>
      <c r="M54" t="s">
        <v>104</v>
      </c>
      <c r="N54" s="3">
        <f>'300474.SZ_元数据'!$B$4</f>
        <v>45876</v>
      </c>
      <c r="O54">
        <f t="shared" si="0"/>
        <v>53</v>
      </c>
      <c r="P54">
        <f t="shared" si="1"/>
        <v>66</v>
      </c>
      <c r="Q54">
        <f t="shared" si="2"/>
        <v>-13</v>
      </c>
      <c r="R54" t="str">
        <f t="shared" si="3"/>
        <v>事件前100个交易日</v>
      </c>
    </row>
    <row r="55" spans="1:18">
      <c r="A55" t="s">
        <v>31</v>
      </c>
      <c r="B55" s="3">
        <v>45860</v>
      </c>
      <c r="C55" s="11">
        <v>73.78</v>
      </c>
      <c r="D55" s="11">
        <v>74.17</v>
      </c>
      <c r="E55" s="11">
        <v>72.8</v>
      </c>
      <c r="F55" s="11">
        <v>73.03</v>
      </c>
      <c r="G55" s="11">
        <v>73.66</v>
      </c>
      <c r="H55" s="11">
        <v>-0.63</v>
      </c>
      <c r="I55" s="11">
        <v>-0.8553</v>
      </c>
      <c r="J55" s="12">
        <v>104257.06</v>
      </c>
      <c r="K55" s="13">
        <v>765166.796</v>
      </c>
      <c r="L55" t="str">
        <f>'300474.SZ_元数据'!$B$5</f>
        <v>事件库1.csv + 股票日行情CSV</v>
      </c>
      <c r="M55" t="s">
        <v>104</v>
      </c>
      <c r="N55" s="3">
        <f>'300474.SZ_元数据'!$B$4</f>
        <v>45876</v>
      </c>
      <c r="O55">
        <f t="shared" si="0"/>
        <v>54</v>
      </c>
      <c r="P55">
        <f t="shared" si="1"/>
        <v>66</v>
      </c>
      <c r="Q55">
        <f t="shared" si="2"/>
        <v>-12</v>
      </c>
      <c r="R55" t="str">
        <f t="shared" si="3"/>
        <v>事件前100个交易日</v>
      </c>
    </row>
    <row r="56" spans="1:18">
      <c r="A56" t="s">
        <v>31</v>
      </c>
      <c r="B56" s="3">
        <v>45861</v>
      </c>
      <c r="C56" s="11">
        <v>73.1</v>
      </c>
      <c r="D56" s="11">
        <v>73.87</v>
      </c>
      <c r="E56" s="11">
        <v>72.62</v>
      </c>
      <c r="F56" s="11">
        <v>73.07</v>
      </c>
      <c r="G56" s="11">
        <v>73.03</v>
      </c>
      <c r="H56" s="11">
        <v>0.04</v>
      </c>
      <c r="I56" s="11">
        <v>0.0548</v>
      </c>
      <c r="J56" s="12">
        <v>85622.4</v>
      </c>
      <c r="K56" s="13">
        <v>627603.47</v>
      </c>
      <c r="L56" t="str">
        <f>'300474.SZ_元数据'!$B$5</f>
        <v>事件库1.csv + 股票日行情CSV</v>
      </c>
      <c r="M56" t="s">
        <v>104</v>
      </c>
      <c r="N56" s="3">
        <f>'300474.SZ_元数据'!$B$4</f>
        <v>45876</v>
      </c>
      <c r="O56">
        <f t="shared" si="0"/>
        <v>55</v>
      </c>
      <c r="P56">
        <f t="shared" si="1"/>
        <v>66</v>
      </c>
      <c r="Q56">
        <f t="shared" si="2"/>
        <v>-11</v>
      </c>
      <c r="R56" t="str">
        <f t="shared" si="3"/>
        <v>事件前100个交易日</v>
      </c>
    </row>
    <row r="57" spans="1:18">
      <c r="A57" t="s">
        <v>31</v>
      </c>
      <c r="B57" s="3">
        <v>45862</v>
      </c>
      <c r="C57" s="11">
        <v>73.1</v>
      </c>
      <c r="D57" s="11">
        <v>74.09</v>
      </c>
      <c r="E57" s="11">
        <v>72.72</v>
      </c>
      <c r="F57" s="11">
        <v>73.98</v>
      </c>
      <c r="G57" s="11">
        <v>73.07</v>
      </c>
      <c r="H57" s="11">
        <v>0.91</v>
      </c>
      <c r="I57" s="11">
        <v>1.2454</v>
      </c>
      <c r="J57" s="12">
        <v>93074.79</v>
      </c>
      <c r="K57" s="13">
        <v>685819.671</v>
      </c>
      <c r="L57" t="str">
        <f>'300474.SZ_元数据'!$B$5</f>
        <v>事件库1.csv + 股票日行情CSV</v>
      </c>
      <c r="M57" t="s">
        <v>104</v>
      </c>
      <c r="N57" s="3">
        <f>'300474.SZ_元数据'!$B$4</f>
        <v>45876</v>
      </c>
      <c r="O57">
        <f t="shared" si="0"/>
        <v>56</v>
      </c>
      <c r="P57">
        <f t="shared" si="1"/>
        <v>66</v>
      </c>
      <c r="Q57">
        <f t="shared" si="2"/>
        <v>-10</v>
      </c>
      <c r="R57" t="str">
        <f t="shared" si="3"/>
        <v>事件前100个交易日</v>
      </c>
    </row>
    <row r="58" spans="1:18">
      <c r="A58" t="s">
        <v>31</v>
      </c>
      <c r="B58" s="3">
        <v>45863</v>
      </c>
      <c r="C58" s="11">
        <v>74.2</v>
      </c>
      <c r="D58" s="11">
        <v>79.01</v>
      </c>
      <c r="E58" s="11">
        <v>73.7</v>
      </c>
      <c r="F58" s="11">
        <v>78.29</v>
      </c>
      <c r="G58" s="11">
        <v>73.98</v>
      </c>
      <c r="H58" s="11">
        <v>4.31</v>
      </c>
      <c r="I58" s="11">
        <v>5.8259</v>
      </c>
      <c r="J58" s="12">
        <v>295798.84</v>
      </c>
      <c r="K58" s="13">
        <v>2256026.807</v>
      </c>
      <c r="L58" t="str">
        <f>'300474.SZ_元数据'!$B$5</f>
        <v>事件库1.csv + 股票日行情CSV</v>
      </c>
      <c r="M58" t="s">
        <v>104</v>
      </c>
      <c r="N58" s="3">
        <f>'300474.SZ_元数据'!$B$4</f>
        <v>45876</v>
      </c>
      <c r="O58">
        <f t="shared" si="0"/>
        <v>57</v>
      </c>
      <c r="P58">
        <f t="shared" si="1"/>
        <v>66</v>
      </c>
      <c r="Q58">
        <f t="shared" si="2"/>
        <v>-9</v>
      </c>
      <c r="R58" t="str">
        <f t="shared" si="3"/>
        <v>事件前100个交易日</v>
      </c>
    </row>
    <row r="59" spans="1:18">
      <c r="A59" t="s">
        <v>31</v>
      </c>
      <c r="B59" s="3">
        <v>45866</v>
      </c>
      <c r="C59" s="11">
        <v>79.1</v>
      </c>
      <c r="D59" s="11">
        <v>80.78</v>
      </c>
      <c r="E59" s="11">
        <v>77.32</v>
      </c>
      <c r="F59" s="11">
        <v>79.97</v>
      </c>
      <c r="G59" s="11">
        <v>78.29</v>
      </c>
      <c r="H59" s="11">
        <v>1.68</v>
      </c>
      <c r="I59" s="11">
        <v>2.1459</v>
      </c>
      <c r="J59" s="12">
        <v>248791.39</v>
      </c>
      <c r="K59" s="13">
        <v>1978858.755</v>
      </c>
      <c r="L59" t="str">
        <f>'300474.SZ_元数据'!$B$5</f>
        <v>事件库1.csv + 股票日行情CSV</v>
      </c>
      <c r="M59" t="s">
        <v>104</v>
      </c>
      <c r="N59" s="3">
        <f>'300474.SZ_元数据'!$B$4</f>
        <v>45876</v>
      </c>
      <c r="O59">
        <f t="shared" si="0"/>
        <v>58</v>
      </c>
      <c r="P59">
        <f t="shared" si="1"/>
        <v>66</v>
      </c>
      <c r="Q59">
        <f t="shared" si="2"/>
        <v>-8</v>
      </c>
      <c r="R59" t="str">
        <f t="shared" si="3"/>
        <v>事件前100个交易日</v>
      </c>
    </row>
    <row r="60" spans="1:18">
      <c r="A60" t="s">
        <v>31</v>
      </c>
      <c r="B60" s="3">
        <v>45867</v>
      </c>
      <c r="C60" s="11">
        <v>79.22</v>
      </c>
      <c r="D60" s="11">
        <v>79.65</v>
      </c>
      <c r="E60" s="11">
        <v>78.3</v>
      </c>
      <c r="F60" s="11">
        <v>78.86</v>
      </c>
      <c r="G60" s="11">
        <v>79.97</v>
      </c>
      <c r="H60" s="11">
        <v>-1.11</v>
      </c>
      <c r="I60" s="11">
        <v>-1.388</v>
      </c>
      <c r="J60" s="12">
        <v>153953.28</v>
      </c>
      <c r="K60" s="13">
        <v>1213867.938</v>
      </c>
      <c r="L60" t="str">
        <f>'300474.SZ_元数据'!$B$5</f>
        <v>事件库1.csv + 股票日行情CSV</v>
      </c>
      <c r="M60" t="s">
        <v>104</v>
      </c>
      <c r="N60" s="3">
        <f>'300474.SZ_元数据'!$B$4</f>
        <v>45876</v>
      </c>
      <c r="O60">
        <f t="shared" si="0"/>
        <v>59</v>
      </c>
      <c r="P60">
        <f t="shared" si="1"/>
        <v>66</v>
      </c>
      <c r="Q60">
        <f t="shared" si="2"/>
        <v>-7</v>
      </c>
      <c r="R60" t="str">
        <f t="shared" si="3"/>
        <v>事件前100个交易日</v>
      </c>
    </row>
    <row r="61" spans="1:18">
      <c r="A61" t="s">
        <v>31</v>
      </c>
      <c r="B61" s="3">
        <v>45868</v>
      </c>
      <c r="C61" s="11">
        <v>78.6</v>
      </c>
      <c r="D61" s="11">
        <v>79.68</v>
      </c>
      <c r="E61" s="11">
        <v>76.8</v>
      </c>
      <c r="F61" s="11">
        <v>77.26</v>
      </c>
      <c r="G61" s="11">
        <v>78.86</v>
      </c>
      <c r="H61" s="11">
        <v>-1.6</v>
      </c>
      <c r="I61" s="11">
        <v>-2.0289</v>
      </c>
      <c r="J61" s="12">
        <v>153065.13</v>
      </c>
      <c r="K61" s="13">
        <v>1195791.838</v>
      </c>
      <c r="L61" t="str">
        <f>'300474.SZ_元数据'!$B$5</f>
        <v>事件库1.csv + 股票日行情CSV</v>
      </c>
      <c r="M61" t="s">
        <v>104</v>
      </c>
      <c r="N61" s="3">
        <f>'300474.SZ_元数据'!$B$4</f>
        <v>45876</v>
      </c>
      <c r="O61">
        <f t="shared" si="0"/>
        <v>60</v>
      </c>
      <c r="P61">
        <f t="shared" si="1"/>
        <v>66</v>
      </c>
      <c r="Q61">
        <f t="shared" si="2"/>
        <v>-6</v>
      </c>
      <c r="R61" t="str">
        <f t="shared" si="3"/>
        <v>事件前100个交易日</v>
      </c>
    </row>
    <row r="62" spans="1:18">
      <c r="A62" t="s">
        <v>31</v>
      </c>
      <c r="B62" s="3">
        <v>45869</v>
      </c>
      <c r="C62" s="11">
        <v>77.35</v>
      </c>
      <c r="D62" s="11">
        <v>82.17</v>
      </c>
      <c r="E62" s="11">
        <v>77.25</v>
      </c>
      <c r="F62" s="11">
        <v>79.6</v>
      </c>
      <c r="G62" s="11">
        <v>77.26</v>
      </c>
      <c r="H62" s="11">
        <v>2.34</v>
      </c>
      <c r="I62" s="11">
        <v>3.0287</v>
      </c>
      <c r="J62" s="12">
        <v>269333.96</v>
      </c>
      <c r="K62" s="13">
        <v>2148981.429</v>
      </c>
      <c r="L62" t="str">
        <f>'300474.SZ_元数据'!$B$5</f>
        <v>事件库1.csv + 股票日行情CSV</v>
      </c>
      <c r="M62" t="s">
        <v>104</v>
      </c>
      <c r="N62" s="3">
        <f>'300474.SZ_元数据'!$B$4</f>
        <v>45876</v>
      </c>
      <c r="O62">
        <f t="shared" si="0"/>
        <v>61</v>
      </c>
      <c r="P62">
        <f t="shared" si="1"/>
        <v>66</v>
      </c>
      <c r="Q62">
        <f t="shared" si="2"/>
        <v>-5</v>
      </c>
      <c r="R62" t="str">
        <f t="shared" si="3"/>
        <v>事件前100个交易日</v>
      </c>
    </row>
    <row r="63" spans="1:18">
      <c r="A63" t="s">
        <v>31</v>
      </c>
      <c r="B63" s="3">
        <v>45870</v>
      </c>
      <c r="C63" s="11">
        <v>79.76</v>
      </c>
      <c r="D63" s="11">
        <v>80.59</v>
      </c>
      <c r="E63" s="11">
        <v>78.5</v>
      </c>
      <c r="F63" s="11">
        <v>79.71</v>
      </c>
      <c r="G63" s="11">
        <v>79.6</v>
      </c>
      <c r="H63" s="11">
        <v>0.11</v>
      </c>
      <c r="I63" s="11">
        <v>0.1382</v>
      </c>
      <c r="J63" s="12">
        <v>171703.28</v>
      </c>
      <c r="K63" s="13">
        <v>1364691.761</v>
      </c>
      <c r="L63" t="str">
        <f>'300474.SZ_元数据'!$B$5</f>
        <v>事件库1.csv + 股票日行情CSV</v>
      </c>
      <c r="M63" t="s">
        <v>104</v>
      </c>
      <c r="N63" s="3">
        <f>'300474.SZ_元数据'!$B$4</f>
        <v>45876</v>
      </c>
      <c r="O63">
        <f t="shared" si="0"/>
        <v>62</v>
      </c>
      <c r="P63">
        <f t="shared" si="1"/>
        <v>66</v>
      </c>
      <c r="Q63">
        <f t="shared" si="2"/>
        <v>-4</v>
      </c>
      <c r="R63" t="str">
        <f t="shared" si="3"/>
        <v>事件前100个交易日</v>
      </c>
    </row>
    <row r="64" spans="1:18">
      <c r="A64" t="s">
        <v>31</v>
      </c>
      <c r="B64" s="3">
        <v>45873</v>
      </c>
      <c r="C64" s="11">
        <v>79.25</v>
      </c>
      <c r="D64" s="11">
        <v>82.35</v>
      </c>
      <c r="E64" s="11">
        <v>79.13</v>
      </c>
      <c r="F64" s="11">
        <v>81.82</v>
      </c>
      <c r="G64" s="11">
        <v>79.71</v>
      </c>
      <c r="H64" s="11">
        <v>2.11</v>
      </c>
      <c r="I64" s="11">
        <v>2.6471</v>
      </c>
      <c r="J64" s="12">
        <v>204868.41</v>
      </c>
      <c r="K64" s="13">
        <v>1661934.072</v>
      </c>
      <c r="L64" t="str">
        <f>'300474.SZ_元数据'!$B$5</f>
        <v>事件库1.csv + 股票日行情CSV</v>
      </c>
      <c r="M64" t="s">
        <v>104</v>
      </c>
      <c r="N64" s="3">
        <f>'300474.SZ_元数据'!$B$4</f>
        <v>45876</v>
      </c>
      <c r="O64">
        <f t="shared" si="0"/>
        <v>63</v>
      </c>
      <c r="P64">
        <f t="shared" si="1"/>
        <v>66</v>
      </c>
      <c r="Q64">
        <f t="shared" si="2"/>
        <v>-3</v>
      </c>
      <c r="R64" t="str">
        <f t="shared" si="3"/>
        <v>事件前100个交易日</v>
      </c>
    </row>
    <row r="65" spans="1:19">
      <c r="A65" t="s">
        <v>31</v>
      </c>
      <c r="B65" s="3">
        <v>45874</v>
      </c>
      <c r="C65" s="11">
        <v>81.66</v>
      </c>
      <c r="D65" s="11">
        <v>86.38</v>
      </c>
      <c r="E65" s="11">
        <v>80.88</v>
      </c>
      <c r="F65" s="11">
        <v>84.75</v>
      </c>
      <c r="G65" s="11">
        <v>81.82</v>
      </c>
      <c r="H65" s="11">
        <v>2.93</v>
      </c>
      <c r="I65" s="11">
        <v>3.581</v>
      </c>
      <c r="J65" s="12">
        <v>310212</v>
      </c>
      <c r="K65" s="13">
        <v>2607121.792</v>
      </c>
      <c r="L65" t="str">
        <f>'300474.SZ_元数据'!$B$5</f>
        <v>事件库1.csv + 股票日行情CSV</v>
      </c>
      <c r="M65" t="s">
        <v>104</v>
      </c>
      <c r="N65" s="3">
        <f>'300474.SZ_元数据'!$B$4</f>
        <v>45876</v>
      </c>
      <c r="O65">
        <f t="shared" si="0"/>
        <v>64</v>
      </c>
      <c r="P65">
        <f t="shared" si="1"/>
        <v>66</v>
      </c>
      <c r="Q65">
        <f t="shared" si="2"/>
        <v>-2</v>
      </c>
      <c r="R65" t="str">
        <f t="shared" si="3"/>
        <v>事件前100个交易日</v>
      </c>
    </row>
    <row r="66" spans="1:19">
      <c r="A66" t="s">
        <v>31</v>
      </c>
      <c r="B66" s="3">
        <v>45875</v>
      </c>
      <c r="C66" s="11">
        <v>83.1</v>
      </c>
      <c r="D66" s="11">
        <v>84.76</v>
      </c>
      <c r="E66" s="11">
        <v>82.55</v>
      </c>
      <c r="F66" s="11">
        <v>83.97</v>
      </c>
      <c r="G66" s="11">
        <v>84.75</v>
      </c>
      <c r="H66" s="11">
        <v>-0.78</v>
      </c>
      <c r="I66" s="11">
        <v>-0.9204</v>
      </c>
      <c r="J66" s="12">
        <v>215309.99</v>
      </c>
      <c r="K66" s="13">
        <v>1799891.11</v>
      </c>
      <c r="L66" t="str">
        <f>'300474.SZ_元数据'!$B$5</f>
        <v>事件库1.csv + 股票日行情CSV</v>
      </c>
      <c r="M66" t="s">
        <v>104</v>
      </c>
      <c r="N66" s="3">
        <f>'300474.SZ_元数据'!$B$4</f>
        <v>45876</v>
      </c>
      <c r="O66">
        <f>ROW()-1</f>
        <v>65</v>
      </c>
      <c r="P66">
        <f>IFERROR(MATCH($N66,$B$2:$B$70,0),"")</f>
        <v>66</v>
      </c>
      <c r="Q66">
        <f>IF(OR($P66="",$O66=""),"",$O66-$P66)</f>
        <v>-1</v>
      </c>
      <c r="R66" t="str">
        <f>IF($Q66="","",IF(AND($Q66&gt;=-100,$Q66&lt;=-1),"事件前100个交易日",IF(AND($Q66&gt;=1,$Q66&lt;=5),"事件后5个交易日",IF($Q66=0,"事件当日","其他区间"))))</f>
        <v>事件前100个交易日</v>
      </c>
    </row>
    <row r="67" spans="1:19">
      <c r="A67" t="s">
        <v>31</v>
      </c>
      <c r="B67" s="3">
        <v>45876</v>
      </c>
      <c r="C67" s="11">
        <v>84</v>
      </c>
      <c r="D67" s="11">
        <v>87.44</v>
      </c>
      <c r="E67" s="11">
        <v>83.02</v>
      </c>
      <c r="F67" s="11">
        <v>84.12</v>
      </c>
      <c r="G67" s="11">
        <v>83.97</v>
      </c>
      <c r="H67" s="11">
        <v>0.15</v>
      </c>
      <c r="I67" s="11">
        <v>0.1786</v>
      </c>
      <c r="J67" s="12">
        <v>275588.72</v>
      </c>
      <c r="K67" s="13">
        <v>2345494.165</v>
      </c>
      <c r="L67" t="str">
        <f>'300474.SZ_元数据'!$B$5</f>
        <v>事件库1.csv + 股票日行情CSV</v>
      </c>
      <c r="M67" t="s">
        <v>104</v>
      </c>
      <c r="N67" s="3">
        <f>'300474.SZ_元数据'!$B$4</f>
        <v>45876</v>
      </c>
      <c r="O67">
        <f>ROW()-1</f>
        <v>66</v>
      </c>
      <c r="P67">
        <f>IFERROR(MATCH($N67,$B$2:$B$70,0),"")</f>
        <v>66</v>
      </c>
      <c r="Q67">
        <f>IF(OR($P67="",$O67=""),"",$O67-$P67)</f>
        <v>0</v>
      </c>
      <c r="R67" t="str">
        <f>IF($Q67="","",IF(AND($Q67&gt;=-100,$Q67&lt;=-1),"事件前100个交易日",IF(AND($Q67&gt;=1,$Q67&lt;=5),"事件后5个交易日",IF($Q67=0,"事件当日","其他区间"))))</f>
        <v>事件当日</v>
      </c>
      <c r="S67" t="s">
        <v>133</v>
      </c>
    </row>
    <row r="68" spans="1:19">
      <c r="A68" t="s">
        <v>31</v>
      </c>
      <c r="B68" s="3">
        <v>45877</v>
      </c>
      <c r="C68" s="11">
        <v>83.51</v>
      </c>
      <c r="D68" s="11">
        <v>83.89</v>
      </c>
      <c r="E68" s="11">
        <v>81.28</v>
      </c>
      <c r="F68" s="11">
        <v>82.2</v>
      </c>
      <c r="G68" s="11">
        <v>84.12</v>
      </c>
      <c r="H68" s="11">
        <v>-1.92</v>
      </c>
      <c r="I68" s="11">
        <v>-2.2825</v>
      </c>
      <c r="J68" s="12">
        <v>201460.32</v>
      </c>
      <c r="K68" s="13">
        <v>1656443.724</v>
      </c>
      <c r="L68" t="str">
        <f>'300474.SZ_元数据'!$B$5</f>
        <v>事件库1.csv + 股票日行情CSV</v>
      </c>
      <c r="M68" t="s">
        <v>104</v>
      </c>
      <c r="N68" s="3">
        <f>'300474.SZ_元数据'!$B$4</f>
        <v>45876</v>
      </c>
      <c r="O68">
        <f>ROW()-1</f>
        <v>67</v>
      </c>
      <c r="P68">
        <f>IFERROR(MATCH($N68,$B$2:$B$70,0),"")</f>
        <v>66</v>
      </c>
      <c r="Q68">
        <f>IF(OR($P68="",$O68=""),"",$O68-$P68)</f>
        <v>1</v>
      </c>
      <c r="R68" t="str">
        <f>IF($Q68="","",IF(AND($Q68&gt;=-100,$Q68&lt;=-1),"事件前100个交易日",IF(AND($Q68&gt;=1,$Q68&lt;=5),"事件后5个交易日",IF($Q68=0,"事件当日","其他区间"))))</f>
        <v>事件后5个交易日</v>
      </c>
    </row>
    <row r="69" spans="1:19">
      <c r="A69" t="s">
        <v>31</v>
      </c>
      <c r="B69" s="3">
        <v>45880</v>
      </c>
      <c r="C69" s="11">
        <v>81.51</v>
      </c>
      <c r="D69" s="11">
        <v>84.86</v>
      </c>
      <c r="E69" s="11">
        <v>81.51</v>
      </c>
      <c r="F69" s="11">
        <v>83.9</v>
      </c>
      <c r="G69" s="11">
        <v>82.2</v>
      </c>
      <c r="H69" s="11">
        <v>1.7</v>
      </c>
      <c r="I69" s="11">
        <v>2.0681</v>
      </c>
      <c r="J69" s="12">
        <v>158830.23</v>
      </c>
      <c r="K69" s="13">
        <v>1320712.991</v>
      </c>
      <c r="L69" t="str">
        <f>'300474.SZ_元数据'!$B$5</f>
        <v>事件库1.csv + 股票日行情CSV</v>
      </c>
      <c r="M69" t="s">
        <v>104</v>
      </c>
      <c r="N69" s="3">
        <f>'300474.SZ_元数据'!$B$4</f>
        <v>45876</v>
      </c>
      <c r="O69">
        <f>ROW()-1</f>
        <v>68</v>
      </c>
      <c r="P69">
        <f>IFERROR(MATCH($N69,$B$2:$B$70,0),"")</f>
        <v>66</v>
      </c>
      <c r="Q69">
        <f>IF(OR($P69="",$O69=""),"",$O69-$P69)</f>
        <v>2</v>
      </c>
      <c r="R69" t="str">
        <f>IF($Q69="","",IF(AND($Q69&gt;=-100,$Q69&lt;=-1),"事件前100个交易日",IF(AND($Q69&gt;=1,$Q69&lt;=5),"事件后5个交易日",IF($Q69=0,"事件当日","其他区间"))))</f>
        <v>事件后5个交易日</v>
      </c>
    </row>
    <row r="70" spans="1:19">
      <c r="A70" t="s">
        <v>31</v>
      </c>
      <c r="B70" s="3">
        <v>45881</v>
      </c>
      <c r="C70" s="11">
        <v>83.66</v>
      </c>
      <c r="D70" s="11">
        <v>86.12</v>
      </c>
      <c r="E70" s="11">
        <v>80.33</v>
      </c>
      <c r="F70" s="11">
        <v>85.22</v>
      </c>
      <c r="G70" s="11">
        <v>83.9</v>
      </c>
      <c r="H70" s="11">
        <v>1.32</v>
      </c>
      <c r="I70" s="11">
        <v>1.5733</v>
      </c>
      <c r="J70" s="12">
        <v>292933.69</v>
      </c>
      <c r="K70" s="13">
        <v>2452614.671</v>
      </c>
      <c r="L70" t="str">
        <f>'300474.SZ_元数据'!$B$5</f>
        <v>事件库1.csv + 股票日行情CSV</v>
      </c>
      <c r="M70" t="s">
        <v>104</v>
      </c>
      <c r="N70" s="3">
        <f>'300474.SZ_元数据'!$B$4</f>
        <v>45876</v>
      </c>
      <c r="O70">
        <f>ROW()-1</f>
        <v>69</v>
      </c>
      <c r="P70">
        <f>IFERROR(MATCH($N70,$B$2:$B$70,0),"")</f>
        <v>66</v>
      </c>
      <c r="Q70">
        <f>IF(OR($P70="",$O70=""),"",$O70-$P70)</f>
        <v>3</v>
      </c>
      <c r="R70" t="str">
        <f>IF($Q70="","",IF(AND($Q70&gt;=-100,$Q70&lt;=-1),"事件前100个交易日",IF(AND($Q70&gt;=1,$Q70&lt;=5),"事件后5个交易日",IF($Q70=0,"事件当日","其他区间"))))</f>
        <v>事件后5个交易日</v>
      </c>
    </row>
  </sheetData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33</v>
      </c>
    </row>
    <row r="3" spans="1:2">
      <c r="A3" s="5" t="s">
        <v>75</v>
      </c>
      <c r="B3" s="8" t="s">
        <v>34</v>
      </c>
    </row>
    <row r="4" spans="1:2">
      <c r="A4" s="5" t="s">
        <v>2</v>
      </c>
      <c r="B4" s="7">
        <v>45159</v>
      </c>
    </row>
    <row r="5" spans="1:2">
      <c r="A5" s="5" t="s">
        <v>76</v>
      </c>
      <c r="B5" s="8" t="s">
        <v>115</v>
      </c>
    </row>
    <row r="6" spans="1:2">
      <c r="A6" s="5" t="s">
        <v>78</v>
      </c>
      <c r="B6" s="8" t="s">
        <v>116</v>
      </c>
    </row>
    <row r="7" spans="1:2">
      <c r="A7" s="5" t="s">
        <v>84</v>
      </c>
      <c r="B7" t="s">
        <v>117</v>
      </c>
    </row>
    <row r="8" spans="1:2">
      <c r="A8" s="5" t="s">
        <v>118</v>
      </c>
      <c r="B8" s="3">
        <v>45159</v>
      </c>
    </row>
    <row r="9" spans="1:2">
      <c r="A9" s="5" t="s">
        <v>1</v>
      </c>
      <c r="B9">
        <v>35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35</v>
      </c>
    </row>
    <row r="12" ht="29" customHeight="1" spans="1:2">
      <c r="A12" s="5" t="s">
        <v>80</v>
      </c>
      <c r="B12" s="14" t="s">
        <v>134</v>
      </c>
    </row>
    <row r="13" spans="1:2">
      <c r="A13" s="5" t="s">
        <v>120</v>
      </c>
      <c r="B13" t="s">
        <v>121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33</v>
      </c>
      <c r="B2" s="3">
        <v>45068</v>
      </c>
      <c r="C2" s="11">
        <v>90.2</v>
      </c>
      <c r="D2" s="11">
        <v>90.58</v>
      </c>
      <c r="E2" s="11">
        <v>87.45</v>
      </c>
      <c r="F2" s="11">
        <v>88.18</v>
      </c>
      <c r="G2" s="11">
        <v>89.97</v>
      </c>
      <c r="H2" s="11">
        <v>-1.79</v>
      </c>
      <c r="I2" s="11">
        <v>-1.9896</v>
      </c>
      <c r="J2" s="12">
        <v>69551.14</v>
      </c>
      <c r="K2" s="13">
        <v>615237.414</v>
      </c>
      <c r="L2" t="str">
        <f>'300496.SZ_元数据'!$B$5</f>
        <v>事件库1.csv + 股票日行情CSV</v>
      </c>
      <c r="M2" t="s">
        <v>104</v>
      </c>
      <c r="N2" s="3">
        <f>'300496.SZ_元数据'!$B$4</f>
        <v>45159</v>
      </c>
      <c r="O2">
        <f t="shared" ref="O2:O65" si="0">ROW()-1</f>
        <v>1</v>
      </c>
      <c r="P2">
        <f t="shared" ref="P2:P65" si="1">IFERROR(MATCH($N2,$B$2:$B$69,0),"")</f>
        <v>64</v>
      </c>
      <c r="Q2">
        <f t="shared" ref="Q2:Q65" si="2">IF(OR($P2="",$O2=""),"",$O2-$P2)</f>
        <v>-63</v>
      </c>
      <c r="R2" t="str">
        <f t="shared" ref="R2:R65" si="3">IF($Q2="","",IF(AND($Q2&gt;=-100,$Q2&lt;=-1),"事件前100个交易日",IF(AND($Q2&gt;=1,$Q2&lt;=5),"事件后5个交易日",IF($Q2=0,"事件当日","其他区间"))))</f>
        <v>事件前100个交易日</v>
      </c>
    </row>
    <row r="3" spans="1:19">
      <c r="A3" t="s">
        <v>33</v>
      </c>
      <c r="B3" s="3">
        <v>45069</v>
      </c>
      <c r="C3" s="11">
        <v>88.01</v>
      </c>
      <c r="D3" s="11">
        <v>88.17</v>
      </c>
      <c r="E3" s="11">
        <v>84.12</v>
      </c>
      <c r="F3" s="11">
        <v>84.17</v>
      </c>
      <c r="G3" s="11">
        <v>88.18</v>
      </c>
      <c r="H3" s="11">
        <v>-4.01</v>
      </c>
      <c r="I3" s="11">
        <v>-4.5475</v>
      </c>
      <c r="J3" s="12">
        <v>104290.34</v>
      </c>
      <c r="K3" s="13">
        <v>892746.887</v>
      </c>
      <c r="L3" t="str">
        <f>'300496.SZ_元数据'!$B$5</f>
        <v>事件库1.csv + 股票日行情CSV</v>
      </c>
      <c r="M3" t="s">
        <v>104</v>
      </c>
      <c r="N3" s="3">
        <f>'300496.SZ_元数据'!$B$4</f>
        <v>45159</v>
      </c>
      <c r="O3">
        <f t="shared" si="0"/>
        <v>2</v>
      </c>
      <c r="P3">
        <f t="shared" si="1"/>
        <v>64</v>
      </c>
      <c r="Q3">
        <f t="shared" si="2"/>
        <v>-62</v>
      </c>
      <c r="R3" t="str">
        <f t="shared" si="3"/>
        <v>事件前100个交易日</v>
      </c>
    </row>
    <row r="4" spans="1:19">
      <c r="A4" t="s">
        <v>33</v>
      </c>
      <c r="B4" s="3">
        <v>45070</v>
      </c>
      <c r="C4" s="11">
        <v>83.97</v>
      </c>
      <c r="D4" s="11">
        <v>85.47</v>
      </c>
      <c r="E4" s="11">
        <v>83.6</v>
      </c>
      <c r="F4" s="11">
        <v>84.1</v>
      </c>
      <c r="G4" s="11">
        <v>84.17</v>
      </c>
      <c r="H4" s="11">
        <v>-0.07</v>
      </c>
      <c r="I4" s="11">
        <v>-0.0832</v>
      </c>
      <c r="J4" s="12">
        <v>61353.96</v>
      </c>
      <c r="K4" s="13">
        <v>518683.894</v>
      </c>
      <c r="L4" t="str">
        <f>'300496.SZ_元数据'!$B$5</f>
        <v>事件库1.csv + 股票日行情CSV</v>
      </c>
      <c r="M4" t="s">
        <v>104</v>
      </c>
      <c r="N4" s="3">
        <f>'300496.SZ_元数据'!$B$4</f>
        <v>45159</v>
      </c>
      <c r="O4">
        <f t="shared" si="0"/>
        <v>3</v>
      </c>
      <c r="P4">
        <f t="shared" si="1"/>
        <v>64</v>
      </c>
      <c r="Q4">
        <f t="shared" si="2"/>
        <v>-61</v>
      </c>
      <c r="R4" t="str">
        <f t="shared" si="3"/>
        <v>事件前100个交易日</v>
      </c>
    </row>
    <row r="5" spans="1:19">
      <c r="A5" t="s">
        <v>33</v>
      </c>
      <c r="B5" s="3">
        <v>45071</v>
      </c>
      <c r="C5" s="11">
        <v>85</v>
      </c>
      <c r="D5" s="11">
        <v>85.7</v>
      </c>
      <c r="E5" s="11">
        <v>82.4</v>
      </c>
      <c r="F5" s="11">
        <v>83.49</v>
      </c>
      <c r="G5" s="11">
        <v>84.1</v>
      </c>
      <c r="H5" s="11">
        <v>-0.61</v>
      </c>
      <c r="I5" s="11">
        <v>-0.7253</v>
      </c>
      <c r="J5" s="12">
        <v>58980.94</v>
      </c>
      <c r="K5" s="13">
        <v>493956</v>
      </c>
      <c r="L5" t="str">
        <f>'300496.SZ_元数据'!$B$5</f>
        <v>事件库1.csv + 股票日行情CSV</v>
      </c>
      <c r="M5" t="s">
        <v>104</v>
      </c>
      <c r="N5" s="3">
        <f>'300496.SZ_元数据'!$B$4</f>
        <v>45159</v>
      </c>
      <c r="O5">
        <f t="shared" si="0"/>
        <v>4</v>
      </c>
      <c r="P5">
        <f t="shared" si="1"/>
        <v>64</v>
      </c>
      <c r="Q5">
        <f t="shared" si="2"/>
        <v>-60</v>
      </c>
      <c r="R5" t="str">
        <f t="shared" si="3"/>
        <v>事件前100个交易日</v>
      </c>
    </row>
    <row r="6" spans="1:19">
      <c r="A6" t="s">
        <v>33</v>
      </c>
      <c r="B6" s="3">
        <v>45072</v>
      </c>
      <c r="C6" s="11">
        <v>83.81</v>
      </c>
      <c r="D6" s="11">
        <v>83.93</v>
      </c>
      <c r="E6" s="11">
        <v>82.22</v>
      </c>
      <c r="F6" s="11">
        <v>83.45</v>
      </c>
      <c r="G6" s="11">
        <v>83.49</v>
      </c>
      <c r="H6" s="11">
        <v>-0.04</v>
      </c>
      <c r="I6" s="11">
        <v>-0.0479</v>
      </c>
      <c r="J6" s="12">
        <v>49244.53</v>
      </c>
      <c r="K6" s="13">
        <v>408992.131</v>
      </c>
      <c r="L6" t="str">
        <f>'300496.SZ_元数据'!$B$5</f>
        <v>事件库1.csv + 股票日行情CSV</v>
      </c>
      <c r="M6" t="s">
        <v>104</v>
      </c>
      <c r="N6" s="3">
        <f>'300496.SZ_元数据'!$B$4</f>
        <v>45159</v>
      </c>
      <c r="O6">
        <f t="shared" si="0"/>
        <v>5</v>
      </c>
      <c r="P6">
        <f t="shared" si="1"/>
        <v>64</v>
      </c>
      <c r="Q6">
        <f t="shared" si="2"/>
        <v>-59</v>
      </c>
      <c r="R6" t="str">
        <f t="shared" si="3"/>
        <v>事件前100个交易日</v>
      </c>
    </row>
    <row r="7" spans="1:19">
      <c r="A7" t="s">
        <v>33</v>
      </c>
      <c r="B7" s="3">
        <v>45075</v>
      </c>
      <c r="C7" s="11">
        <v>85.46</v>
      </c>
      <c r="D7" s="11">
        <v>95.89</v>
      </c>
      <c r="E7" s="11">
        <v>85.39</v>
      </c>
      <c r="F7" s="11">
        <v>92.28</v>
      </c>
      <c r="G7" s="11">
        <v>83.45</v>
      </c>
      <c r="H7" s="11">
        <v>8.83</v>
      </c>
      <c r="I7" s="11">
        <v>10.5812</v>
      </c>
      <c r="J7" s="12">
        <v>251089.21</v>
      </c>
      <c r="K7" s="13">
        <v>2282135.554</v>
      </c>
      <c r="L7" t="str">
        <f>'300496.SZ_元数据'!$B$5</f>
        <v>事件库1.csv + 股票日行情CSV</v>
      </c>
      <c r="M7" t="s">
        <v>104</v>
      </c>
      <c r="N7" s="3">
        <f>'300496.SZ_元数据'!$B$4</f>
        <v>45159</v>
      </c>
      <c r="O7">
        <f t="shared" si="0"/>
        <v>6</v>
      </c>
      <c r="P7">
        <f t="shared" si="1"/>
        <v>64</v>
      </c>
      <c r="Q7">
        <f t="shared" si="2"/>
        <v>-58</v>
      </c>
      <c r="R7" t="str">
        <f t="shared" si="3"/>
        <v>事件前100个交易日</v>
      </c>
    </row>
    <row r="8" spans="1:19">
      <c r="A8" t="s">
        <v>33</v>
      </c>
      <c r="B8" s="3">
        <v>45076</v>
      </c>
      <c r="C8" s="11">
        <v>91</v>
      </c>
      <c r="D8" s="11">
        <v>91.63</v>
      </c>
      <c r="E8" s="11">
        <v>89</v>
      </c>
      <c r="F8" s="11">
        <v>91.48</v>
      </c>
      <c r="G8" s="11">
        <v>92.28</v>
      </c>
      <c r="H8" s="11">
        <v>-0.8</v>
      </c>
      <c r="I8" s="11">
        <v>-0.8669</v>
      </c>
      <c r="J8" s="12">
        <v>137877.49</v>
      </c>
      <c r="K8" s="13">
        <v>1244018.596</v>
      </c>
      <c r="L8" t="str">
        <f>'300496.SZ_元数据'!$B$5</f>
        <v>事件库1.csv + 股票日行情CSV</v>
      </c>
      <c r="M8" t="s">
        <v>104</v>
      </c>
      <c r="N8" s="3">
        <f>'300496.SZ_元数据'!$B$4</f>
        <v>45159</v>
      </c>
      <c r="O8">
        <f t="shared" si="0"/>
        <v>7</v>
      </c>
      <c r="P8">
        <f t="shared" si="1"/>
        <v>64</v>
      </c>
      <c r="Q8">
        <f t="shared" si="2"/>
        <v>-57</v>
      </c>
      <c r="R8" t="str">
        <f t="shared" si="3"/>
        <v>事件前100个交易日</v>
      </c>
    </row>
    <row r="9" spans="1:19">
      <c r="A9" t="s">
        <v>33</v>
      </c>
      <c r="B9" s="3">
        <v>45077</v>
      </c>
      <c r="C9" s="11">
        <v>95.59</v>
      </c>
      <c r="D9" s="11">
        <v>98.9</v>
      </c>
      <c r="E9" s="11">
        <v>95.59</v>
      </c>
      <c r="F9" s="11">
        <v>97.8</v>
      </c>
      <c r="G9" s="11">
        <v>91.48</v>
      </c>
      <c r="H9" s="11">
        <v>6.32</v>
      </c>
      <c r="I9" s="11">
        <v>6.9086</v>
      </c>
      <c r="J9" s="12">
        <v>258506.08</v>
      </c>
      <c r="K9" s="13">
        <v>2510750.887</v>
      </c>
      <c r="L9" t="str">
        <f>'300496.SZ_元数据'!$B$5</f>
        <v>事件库1.csv + 股票日行情CSV</v>
      </c>
      <c r="M9" t="s">
        <v>104</v>
      </c>
      <c r="N9" s="3">
        <f>'300496.SZ_元数据'!$B$4</f>
        <v>45159</v>
      </c>
      <c r="O9">
        <f t="shared" si="0"/>
        <v>8</v>
      </c>
      <c r="P9">
        <f t="shared" si="1"/>
        <v>64</v>
      </c>
      <c r="Q9">
        <f t="shared" si="2"/>
        <v>-56</v>
      </c>
      <c r="R9" t="str">
        <f t="shared" si="3"/>
        <v>事件前100个交易日</v>
      </c>
    </row>
    <row r="10" spans="1:19">
      <c r="A10" t="s">
        <v>33</v>
      </c>
      <c r="B10" s="3">
        <v>45078</v>
      </c>
      <c r="C10" s="11">
        <v>95</v>
      </c>
      <c r="D10" s="11">
        <v>100.25</v>
      </c>
      <c r="E10" s="11">
        <v>94.72</v>
      </c>
      <c r="F10" s="11">
        <v>99.62</v>
      </c>
      <c r="G10" s="11">
        <v>97.8</v>
      </c>
      <c r="H10" s="11">
        <v>1.82</v>
      </c>
      <c r="I10" s="11">
        <v>1.8609</v>
      </c>
      <c r="J10" s="12">
        <v>212127.97</v>
      </c>
      <c r="K10" s="13">
        <v>2087758.669</v>
      </c>
      <c r="L10" t="str">
        <f>'300496.SZ_元数据'!$B$5</f>
        <v>事件库1.csv + 股票日行情CSV</v>
      </c>
      <c r="M10" t="s">
        <v>104</v>
      </c>
      <c r="N10" s="3">
        <f>'300496.SZ_元数据'!$B$4</f>
        <v>45159</v>
      </c>
      <c r="O10">
        <f t="shared" si="0"/>
        <v>9</v>
      </c>
      <c r="P10">
        <f t="shared" si="1"/>
        <v>64</v>
      </c>
      <c r="Q10">
        <f t="shared" si="2"/>
        <v>-55</v>
      </c>
      <c r="R10" t="str">
        <f t="shared" si="3"/>
        <v>事件前100个交易日</v>
      </c>
    </row>
    <row r="11" spans="1:19">
      <c r="A11" t="s">
        <v>33</v>
      </c>
      <c r="B11" s="3">
        <v>45079</v>
      </c>
      <c r="C11" s="11">
        <v>100</v>
      </c>
      <c r="D11" s="11">
        <v>105.39</v>
      </c>
      <c r="E11" s="11">
        <v>99.62</v>
      </c>
      <c r="F11" s="11">
        <v>100.7</v>
      </c>
      <c r="G11" s="11">
        <v>99.62</v>
      </c>
      <c r="H11" s="11">
        <v>1.08</v>
      </c>
      <c r="I11" s="11">
        <v>1.0841</v>
      </c>
      <c r="J11" s="12">
        <v>216975.96</v>
      </c>
      <c r="K11" s="13">
        <v>2212574.514</v>
      </c>
      <c r="L11" t="str">
        <f>'300496.SZ_元数据'!$B$5</f>
        <v>事件库1.csv + 股票日行情CSV</v>
      </c>
      <c r="M11" t="s">
        <v>104</v>
      </c>
      <c r="N11" s="3">
        <f>'300496.SZ_元数据'!$B$4</f>
        <v>45159</v>
      </c>
      <c r="O11">
        <f t="shared" si="0"/>
        <v>10</v>
      </c>
      <c r="P11">
        <f t="shared" si="1"/>
        <v>64</v>
      </c>
      <c r="Q11">
        <f t="shared" si="2"/>
        <v>-54</v>
      </c>
      <c r="R11" t="str">
        <f t="shared" si="3"/>
        <v>事件前100个交易日</v>
      </c>
    </row>
    <row r="12" spans="1:19">
      <c r="A12" t="s">
        <v>33</v>
      </c>
      <c r="B12" s="3">
        <v>45082</v>
      </c>
      <c r="C12" s="11">
        <v>99.5</v>
      </c>
      <c r="D12" s="11">
        <v>102.35</v>
      </c>
      <c r="E12" s="11">
        <v>98.94</v>
      </c>
      <c r="F12" s="11">
        <v>99.77</v>
      </c>
      <c r="G12" s="11">
        <v>100.7</v>
      </c>
      <c r="H12" s="11">
        <v>-0.93</v>
      </c>
      <c r="I12" s="11">
        <v>-0.9235</v>
      </c>
      <c r="J12" s="12">
        <v>122011.74</v>
      </c>
      <c r="K12" s="13">
        <v>1226211.78</v>
      </c>
      <c r="L12" t="str">
        <f>'300496.SZ_元数据'!$B$5</f>
        <v>事件库1.csv + 股票日行情CSV</v>
      </c>
      <c r="M12" t="s">
        <v>104</v>
      </c>
      <c r="N12" s="3">
        <f>'300496.SZ_元数据'!$B$4</f>
        <v>45159</v>
      </c>
      <c r="O12">
        <f t="shared" si="0"/>
        <v>11</v>
      </c>
      <c r="P12">
        <f t="shared" si="1"/>
        <v>64</v>
      </c>
      <c r="Q12">
        <f t="shared" si="2"/>
        <v>-53</v>
      </c>
      <c r="R12" t="str">
        <f t="shared" si="3"/>
        <v>事件前100个交易日</v>
      </c>
    </row>
    <row r="13" spans="1:19">
      <c r="A13" t="s">
        <v>33</v>
      </c>
      <c r="B13" s="3">
        <v>45083</v>
      </c>
      <c r="C13" s="11">
        <v>99.28</v>
      </c>
      <c r="D13" s="11">
        <v>99.85</v>
      </c>
      <c r="E13" s="11">
        <v>93.88</v>
      </c>
      <c r="F13" s="11">
        <v>94.13</v>
      </c>
      <c r="G13" s="11">
        <v>99.77</v>
      </c>
      <c r="H13" s="11">
        <v>-5.64</v>
      </c>
      <c r="I13" s="11">
        <v>-5.653</v>
      </c>
      <c r="J13" s="12">
        <v>157192.54</v>
      </c>
      <c r="K13" s="13">
        <v>1509341.387</v>
      </c>
      <c r="L13" t="str">
        <f>'300496.SZ_元数据'!$B$5</f>
        <v>事件库1.csv + 股票日行情CSV</v>
      </c>
      <c r="M13" t="s">
        <v>104</v>
      </c>
      <c r="N13" s="3">
        <f>'300496.SZ_元数据'!$B$4</f>
        <v>45159</v>
      </c>
      <c r="O13">
        <f t="shared" si="0"/>
        <v>12</v>
      </c>
      <c r="P13">
        <f t="shared" si="1"/>
        <v>64</v>
      </c>
      <c r="Q13">
        <f t="shared" si="2"/>
        <v>-52</v>
      </c>
      <c r="R13" t="str">
        <f t="shared" si="3"/>
        <v>事件前100个交易日</v>
      </c>
    </row>
    <row r="14" spans="1:19">
      <c r="A14" t="s">
        <v>33</v>
      </c>
      <c r="B14" s="3">
        <v>45084</v>
      </c>
      <c r="C14" s="11">
        <v>95.02</v>
      </c>
      <c r="D14" s="11">
        <v>96.27</v>
      </c>
      <c r="E14" s="11">
        <v>93.52</v>
      </c>
      <c r="F14" s="11">
        <v>94.42</v>
      </c>
      <c r="G14" s="11">
        <v>94.13</v>
      </c>
      <c r="H14" s="11">
        <v>0.29</v>
      </c>
      <c r="I14" s="11">
        <v>0.3081</v>
      </c>
      <c r="J14" s="12">
        <v>95518.3</v>
      </c>
      <c r="K14" s="13">
        <v>906954.148</v>
      </c>
      <c r="L14" t="str">
        <f>'300496.SZ_元数据'!$B$5</f>
        <v>事件库1.csv + 股票日行情CSV</v>
      </c>
      <c r="M14" t="s">
        <v>104</v>
      </c>
      <c r="N14" s="3">
        <f>'300496.SZ_元数据'!$B$4</f>
        <v>45159</v>
      </c>
      <c r="O14">
        <f t="shared" si="0"/>
        <v>13</v>
      </c>
      <c r="P14">
        <f t="shared" si="1"/>
        <v>64</v>
      </c>
      <c r="Q14">
        <f t="shared" si="2"/>
        <v>-51</v>
      </c>
      <c r="R14" t="str">
        <f t="shared" si="3"/>
        <v>事件前100个交易日</v>
      </c>
    </row>
    <row r="15" spans="1:19">
      <c r="A15" t="s">
        <v>33</v>
      </c>
      <c r="B15" s="3">
        <v>45085</v>
      </c>
      <c r="C15" s="11">
        <v>97.99</v>
      </c>
      <c r="D15" s="11">
        <v>100.18</v>
      </c>
      <c r="E15" s="11">
        <v>94.31</v>
      </c>
      <c r="F15" s="11">
        <v>95.32</v>
      </c>
      <c r="G15" s="11">
        <v>94.42</v>
      </c>
      <c r="H15" s="11">
        <v>0.9</v>
      </c>
      <c r="I15" s="11">
        <v>0.9532</v>
      </c>
      <c r="J15" s="12">
        <v>124959.51</v>
      </c>
      <c r="K15" s="13">
        <v>1205849.498</v>
      </c>
      <c r="L15" t="str">
        <f>'300496.SZ_元数据'!$B$5</f>
        <v>事件库1.csv + 股票日行情CSV</v>
      </c>
      <c r="M15" t="s">
        <v>104</v>
      </c>
      <c r="N15" s="3">
        <f>'300496.SZ_元数据'!$B$4</f>
        <v>45159</v>
      </c>
      <c r="O15">
        <f t="shared" si="0"/>
        <v>14</v>
      </c>
      <c r="P15">
        <f t="shared" si="1"/>
        <v>64</v>
      </c>
      <c r="Q15">
        <f t="shared" si="2"/>
        <v>-50</v>
      </c>
      <c r="R15" t="str">
        <f t="shared" si="3"/>
        <v>事件前100个交易日</v>
      </c>
    </row>
    <row r="16" spans="1:19">
      <c r="A16" t="s">
        <v>33</v>
      </c>
      <c r="B16" s="3">
        <v>45086</v>
      </c>
      <c r="C16" s="11">
        <v>96.27</v>
      </c>
      <c r="D16" s="11">
        <v>97.55</v>
      </c>
      <c r="E16" s="11">
        <v>92.77</v>
      </c>
      <c r="F16" s="11">
        <v>97.27</v>
      </c>
      <c r="G16" s="11">
        <v>95.32</v>
      </c>
      <c r="H16" s="11">
        <v>1.95</v>
      </c>
      <c r="I16" s="11">
        <v>2.0457</v>
      </c>
      <c r="J16" s="12">
        <v>123011.98</v>
      </c>
      <c r="K16" s="13">
        <v>1169778.662</v>
      </c>
      <c r="L16" t="str">
        <f>'300496.SZ_元数据'!$B$5</f>
        <v>事件库1.csv + 股票日行情CSV</v>
      </c>
      <c r="M16" t="s">
        <v>104</v>
      </c>
      <c r="N16" s="3">
        <f>'300496.SZ_元数据'!$B$4</f>
        <v>45159</v>
      </c>
      <c r="O16">
        <f t="shared" si="0"/>
        <v>15</v>
      </c>
      <c r="P16">
        <f t="shared" si="1"/>
        <v>64</v>
      </c>
      <c r="Q16">
        <f t="shared" si="2"/>
        <v>-49</v>
      </c>
      <c r="R16" t="str">
        <f t="shared" si="3"/>
        <v>事件前100个交易日</v>
      </c>
    </row>
    <row r="17" spans="1:18">
      <c r="A17" t="s">
        <v>33</v>
      </c>
      <c r="B17" s="3">
        <v>45089</v>
      </c>
      <c r="C17" s="11">
        <v>99.21</v>
      </c>
      <c r="D17" s="11">
        <v>106.3</v>
      </c>
      <c r="E17" s="11">
        <v>98.71</v>
      </c>
      <c r="F17" s="11">
        <v>103.88</v>
      </c>
      <c r="G17" s="11">
        <v>97.27</v>
      </c>
      <c r="H17" s="11">
        <v>6.61</v>
      </c>
      <c r="I17" s="11">
        <v>6.7955</v>
      </c>
      <c r="J17" s="12">
        <v>266603.91</v>
      </c>
      <c r="K17" s="13">
        <v>2751893.144</v>
      </c>
      <c r="L17" t="str">
        <f>'300496.SZ_元数据'!$B$5</f>
        <v>事件库1.csv + 股票日行情CSV</v>
      </c>
      <c r="M17" t="s">
        <v>104</v>
      </c>
      <c r="N17" s="3">
        <f>'300496.SZ_元数据'!$B$4</f>
        <v>45159</v>
      </c>
      <c r="O17">
        <f t="shared" si="0"/>
        <v>16</v>
      </c>
      <c r="P17">
        <f t="shared" si="1"/>
        <v>64</v>
      </c>
      <c r="Q17">
        <f t="shared" si="2"/>
        <v>-48</v>
      </c>
      <c r="R17" t="str">
        <f t="shared" si="3"/>
        <v>事件前100个交易日</v>
      </c>
    </row>
    <row r="18" spans="1:18">
      <c r="A18" t="s">
        <v>33</v>
      </c>
      <c r="B18" s="3">
        <v>45090</v>
      </c>
      <c r="C18" s="11">
        <v>103.85</v>
      </c>
      <c r="D18" s="11">
        <v>106.66</v>
      </c>
      <c r="E18" s="11">
        <v>102.51</v>
      </c>
      <c r="F18" s="11">
        <v>105.16</v>
      </c>
      <c r="G18" s="11">
        <v>103.88</v>
      </c>
      <c r="H18" s="11">
        <v>1.28</v>
      </c>
      <c r="I18" s="11">
        <v>1.2322</v>
      </c>
      <c r="J18" s="12">
        <v>176178.69</v>
      </c>
      <c r="K18" s="13">
        <v>1844974.355</v>
      </c>
      <c r="L18" t="str">
        <f>'300496.SZ_元数据'!$B$5</f>
        <v>事件库1.csv + 股票日行情CSV</v>
      </c>
      <c r="M18" t="s">
        <v>104</v>
      </c>
      <c r="N18" s="3">
        <f>'300496.SZ_元数据'!$B$4</f>
        <v>45159</v>
      </c>
      <c r="O18">
        <f t="shared" si="0"/>
        <v>17</v>
      </c>
      <c r="P18">
        <f t="shared" si="1"/>
        <v>64</v>
      </c>
      <c r="Q18">
        <f t="shared" si="2"/>
        <v>-47</v>
      </c>
      <c r="R18" t="str">
        <f t="shared" si="3"/>
        <v>事件前100个交易日</v>
      </c>
    </row>
    <row r="19" spans="1:18">
      <c r="A19" t="s">
        <v>33</v>
      </c>
      <c r="B19" s="3">
        <v>45091</v>
      </c>
      <c r="C19" s="11">
        <v>105</v>
      </c>
      <c r="D19" s="11">
        <v>106.38</v>
      </c>
      <c r="E19" s="11">
        <v>102.52</v>
      </c>
      <c r="F19" s="11">
        <v>103.98</v>
      </c>
      <c r="G19" s="11">
        <v>105.16</v>
      </c>
      <c r="H19" s="11">
        <v>-1.18</v>
      </c>
      <c r="I19" s="11">
        <v>-1.1221</v>
      </c>
      <c r="J19" s="12">
        <v>103361.05</v>
      </c>
      <c r="K19" s="13">
        <v>1074774.916</v>
      </c>
      <c r="L19" t="str">
        <f>'300496.SZ_元数据'!$B$5</f>
        <v>事件库1.csv + 股票日行情CSV</v>
      </c>
      <c r="M19" t="s">
        <v>104</v>
      </c>
      <c r="N19" s="3">
        <f>'300496.SZ_元数据'!$B$4</f>
        <v>45159</v>
      </c>
      <c r="O19">
        <f t="shared" si="0"/>
        <v>18</v>
      </c>
      <c r="P19">
        <f t="shared" si="1"/>
        <v>64</v>
      </c>
      <c r="Q19">
        <f t="shared" si="2"/>
        <v>-46</v>
      </c>
      <c r="R19" t="str">
        <f t="shared" si="3"/>
        <v>事件前100个交易日</v>
      </c>
    </row>
    <row r="20" spans="1:18">
      <c r="A20" t="s">
        <v>33</v>
      </c>
      <c r="B20" s="3">
        <v>45092</v>
      </c>
      <c r="C20" s="11">
        <v>103.97</v>
      </c>
      <c r="D20" s="11">
        <v>107.8</v>
      </c>
      <c r="E20" s="11">
        <v>103.43</v>
      </c>
      <c r="F20" s="11">
        <v>103.85</v>
      </c>
      <c r="G20" s="11">
        <v>103.98</v>
      </c>
      <c r="H20" s="11">
        <v>-0.13</v>
      </c>
      <c r="I20" s="11">
        <v>-0.125</v>
      </c>
      <c r="J20" s="12">
        <v>127707.41</v>
      </c>
      <c r="K20" s="13">
        <v>1343153.536</v>
      </c>
      <c r="L20" t="str">
        <f>'300496.SZ_元数据'!$B$5</f>
        <v>事件库1.csv + 股票日行情CSV</v>
      </c>
      <c r="M20" t="s">
        <v>104</v>
      </c>
      <c r="N20" s="3">
        <f>'300496.SZ_元数据'!$B$4</f>
        <v>45159</v>
      </c>
      <c r="O20">
        <f t="shared" si="0"/>
        <v>19</v>
      </c>
      <c r="P20">
        <f t="shared" si="1"/>
        <v>64</v>
      </c>
      <c r="Q20">
        <f t="shared" si="2"/>
        <v>-45</v>
      </c>
      <c r="R20" t="str">
        <f t="shared" si="3"/>
        <v>事件前100个交易日</v>
      </c>
    </row>
    <row r="21" spans="1:18">
      <c r="A21" t="s">
        <v>33</v>
      </c>
      <c r="B21" s="3">
        <v>45093</v>
      </c>
      <c r="C21" s="11">
        <v>102.32</v>
      </c>
      <c r="D21" s="11">
        <v>110.7</v>
      </c>
      <c r="E21" s="11">
        <v>100</v>
      </c>
      <c r="F21" s="11">
        <v>107.63</v>
      </c>
      <c r="G21" s="11">
        <v>103.85</v>
      </c>
      <c r="H21" s="11">
        <v>3.78</v>
      </c>
      <c r="I21" s="11">
        <v>3.6399</v>
      </c>
      <c r="J21" s="12">
        <v>216961.68</v>
      </c>
      <c r="K21" s="13">
        <v>2277318.204</v>
      </c>
      <c r="L21" t="str">
        <f>'300496.SZ_元数据'!$B$5</f>
        <v>事件库1.csv + 股票日行情CSV</v>
      </c>
      <c r="M21" t="s">
        <v>104</v>
      </c>
      <c r="N21" s="3">
        <f>'300496.SZ_元数据'!$B$4</f>
        <v>45159</v>
      </c>
      <c r="O21">
        <f t="shared" si="0"/>
        <v>20</v>
      </c>
      <c r="P21">
        <f t="shared" si="1"/>
        <v>64</v>
      </c>
      <c r="Q21">
        <f t="shared" si="2"/>
        <v>-44</v>
      </c>
      <c r="R21" t="str">
        <f t="shared" si="3"/>
        <v>事件前100个交易日</v>
      </c>
    </row>
    <row r="22" spans="1:18">
      <c r="A22" t="s">
        <v>33</v>
      </c>
      <c r="B22" s="3">
        <v>45096</v>
      </c>
      <c r="C22" s="11">
        <v>110.66</v>
      </c>
      <c r="D22" s="11">
        <v>115.48</v>
      </c>
      <c r="E22" s="11">
        <v>109.2</v>
      </c>
      <c r="F22" s="11">
        <v>111.3</v>
      </c>
      <c r="G22" s="11">
        <v>107.63</v>
      </c>
      <c r="H22" s="11">
        <v>3.67</v>
      </c>
      <c r="I22" s="11">
        <v>3.4098</v>
      </c>
      <c r="J22" s="12">
        <v>258605</v>
      </c>
      <c r="K22" s="13">
        <v>2902958.647</v>
      </c>
      <c r="L22" t="str">
        <f>'300496.SZ_元数据'!$B$5</f>
        <v>事件库1.csv + 股票日行情CSV</v>
      </c>
      <c r="M22" t="s">
        <v>104</v>
      </c>
      <c r="N22" s="3">
        <f>'300496.SZ_元数据'!$B$4</f>
        <v>45159</v>
      </c>
      <c r="O22">
        <f t="shared" si="0"/>
        <v>21</v>
      </c>
      <c r="P22">
        <f t="shared" si="1"/>
        <v>64</v>
      </c>
      <c r="Q22">
        <f t="shared" si="2"/>
        <v>-43</v>
      </c>
      <c r="R22" t="str">
        <f t="shared" si="3"/>
        <v>事件前100个交易日</v>
      </c>
    </row>
    <row r="23" spans="1:18">
      <c r="A23" t="s">
        <v>33</v>
      </c>
      <c r="B23" s="3">
        <v>45097</v>
      </c>
      <c r="C23" s="11">
        <v>109.28</v>
      </c>
      <c r="D23" s="11">
        <v>112.8</v>
      </c>
      <c r="E23" s="11">
        <v>108.28</v>
      </c>
      <c r="F23" s="11">
        <v>111.79</v>
      </c>
      <c r="G23" s="11">
        <v>111.3</v>
      </c>
      <c r="H23" s="11">
        <v>0.49</v>
      </c>
      <c r="I23" s="11">
        <v>0.4403</v>
      </c>
      <c r="J23" s="12">
        <v>134940.88</v>
      </c>
      <c r="K23" s="13">
        <v>1495200.217</v>
      </c>
      <c r="L23" t="str">
        <f>'300496.SZ_元数据'!$B$5</f>
        <v>事件库1.csv + 股票日行情CSV</v>
      </c>
      <c r="M23" t="s">
        <v>104</v>
      </c>
      <c r="N23" s="3">
        <f>'300496.SZ_元数据'!$B$4</f>
        <v>45159</v>
      </c>
      <c r="O23">
        <f t="shared" si="0"/>
        <v>22</v>
      </c>
      <c r="P23">
        <f t="shared" si="1"/>
        <v>64</v>
      </c>
      <c r="Q23">
        <f t="shared" si="2"/>
        <v>-42</v>
      </c>
      <c r="R23" t="str">
        <f t="shared" si="3"/>
        <v>事件前100个交易日</v>
      </c>
    </row>
    <row r="24" spans="1:18">
      <c r="A24" t="s">
        <v>33</v>
      </c>
      <c r="B24" s="3">
        <v>45098</v>
      </c>
      <c r="C24" s="11">
        <v>111.35</v>
      </c>
      <c r="D24" s="11">
        <v>111.85</v>
      </c>
      <c r="E24" s="11">
        <v>106.6</v>
      </c>
      <c r="F24" s="11">
        <v>106.7</v>
      </c>
      <c r="G24" s="11">
        <v>111.79</v>
      </c>
      <c r="H24" s="11">
        <v>-5.09</v>
      </c>
      <c r="I24" s="11">
        <v>-4.5532</v>
      </c>
      <c r="J24" s="12">
        <v>118300.94</v>
      </c>
      <c r="K24" s="13">
        <v>1282290.265</v>
      </c>
      <c r="L24" t="str">
        <f>'300496.SZ_元数据'!$B$5</f>
        <v>事件库1.csv + 股票日行情CSV</v>
      </c>
      <c r="M24" t="s">
        <v>104</v>
      </c>
      <c r="N24" s="3">
        <f>'300496.SZ_元数据'!$B$4</f>
        <v>45159</v>
      </c>
      <c r="O24">
        <f t="shared" si="0"/>
        <v>23</v>
      </c>
      <c r="P24">
        <f t="shared" si="1"/>
        <v>64</v>
      </c>
      <c r="Q24">
        <f t="shared" si="2"/>
        <v>-41</v>
      </c>
      <c r="R24" t="str">
        <f t="shared" si="3"/>
        <v>事件前100个交易日</v>
      </c>
    </row>
    <row r="25" spans="1:18">
      <c r="A25" t="s">
        <v>33</v>
      </c>
      <c r="B25" s="3">
        <v>45103</v>
      </c>
      <c r="C25" s="11">
        <v>104.98</v>
      </c>
      <c r="D25" s="11">
        <v>109.98</v>
      </c>
      <c r="E25" s="11">
        <v>102</v>
      </c>
      <c r="F25" s="11">
        <v>102.7</v>
      </c>
      <c r="G25" s="11">
        <v>106.7</v>
      </c>
      <c r="H25" s="11">
        <v>-4</v>
      </c>
      <c r="I25" s="11">
        <v>-3.7488</v>
      </c>
      <c r="J25" s="12">
        <v>131156.47</v>
      </c>
      <c r="K25" s="13">
        <v>1383397.287</v>
      </c>
      <c r="L25" t="str">
        <f>'300496.SZ_元数据'!$B$5</f>
        <v>事件库1.csv + 股票日行情CSV</v>
      </c>
      <c r="M25" t="s">
        <v>104</v>
      </c>
      <c r="N25" s="3">
        <f>'300496.SZ_元数据'!$B$4</f>
        <v>45159</v>
      </c>
      <c r="O25">
        <f t="shared" si="0"/>
        <v>24</v>
      </c>
      <c r="P25">
        <f t="shared" si="1"/>
        <v>64</v>
      </c>
      <c r="Q25">
        <f t="shared" si="2"/>
        <v>-40</v>
      </c>
      <c r="R25" t="str">
        <f t="shared" si="3"/>
        <v>事件前100个交易日</v>
      </c>
    </row>
    <row r="26" spans="1:18">
      <c r="A26" t="s">
        <v>33</v>
      </c>
      <c r="B26" s="3">
        <v>45104</v>
      </c>
      <c r="C26" s="11">
        <v>103.02</v>
      </c>
      <c r="D26" s="11">
        <v>105</v>
      </c>
      <c r="E26" s="11">
        <v>101.51</v>
      </c>
      <c r="F26" s="11">
        <v>104.3</v>
      </c>
      <c r="G26" s="11">
        <v>102.7</v>
      </c>
      <c r="H26" s="11">
        <v>1.6</v>
      </c>
      <c r="I26" s="11">
        <v>1.5579</v>
      </c>
      <c r="J26" s="12">
        <v>81364.59</v>
      </c>
      <c r="K26" s="13">
        <v>841784.093</v>
      </c>
      <c r="L26" t="str">
        <f>'300496.SZ_元数据'!$B$5</f>
        <v>事件库1.csv + 股票日行情CSV</v>
      </c>
      <c r="M26" t="s">
        <v>104</v>
      </c>
      <c r="N26" s="3">
        <f>'300496.SZ_元数据'!$B$4</f>
        <v>45159</v>
      </c>
      <c r="O26">
        <f t="shared" si="0"/>
        <v>25</v>
      </c>
      <c r="P26">
        <f t="shared" si="1"/>
        <v>64</v>
      </c>
      <c r="Q26">
        <f t="shared" si="2"/>
        <v>-39</v>
      </c>
      <c r="R26" t="str">
        <f t="shared" si="3"/>
        <v>事件前100个交易日</v>
      </c>
    </row>
    <row r="27" spans="1:18">
      <c r="A27" t="s">
        <v>33</v>
      </c>
      <c r="B27" s="3">
        <v>45105</v>
      </c>
      <c r="C27" s="11">
        <v>103</v>
      </c>
      <c r="D27" s="11">
        <v>103</v>
      </c>
      <c r="E27" s="11">
        <v>92.49</v>
      </c>
      <c r="F27" s="11">
        <v>95.11</v>
      </c>
      <c r="G27" s="11">
        <v>104.3</v>
      </c>
      <c r="H27" s="11">
        <v>-9.19</v>
      </c>
      <c r="I27" s="11">
        <v>-8.8111</v>
      </c>
      <c r="J27" s="12">
        <v>195752.69</v>
      </c>
      <c r="K27" s="13">
        <v>1870374.093</v>
      </c>
      <c r="L27" t="str">
        <f>'300496.SZ_元数据'!$B$5</f>
        <v>事件库1.csv + 股票日行情CSV</v>
      </c>
      <c r="M27" t="s">
        <v>104</v>
      </c>
      <c r="N27" s="3">
        <f>'300496.SZ_元数据'!$B$4</f>
        <v>45159</v>
      </c>
      <c r="O27">
        <f t="shared" si="0"/>
        <v>26</v>
      </c>
      <c r="P27">
        <f t="shared" si="1"/>
        <v>64</v>
      </c>
      <c r="Q27">
        <f t="shared" si="2"/>
        <v>-38</v>
      </c>
      <c r="R27" t="str">
        <f t="shared" si="3"/>
        <v>事件前100个交易日</v>
      </c>
    </row>
    <row r="28" spans="1:18">
      <c r="A28" t="s">
        <v>33</v>
      </c>
      <c r="B28" s="3">
        <v>45106</v>
      </c>
      <c r="C28" s="11">
        <v>95.09</v>
      </c>
      <c r="D28" s="11">
        <v>98.5</v>
      </c>
      <c r="E28" s="11">
        <v>94.68</v>
      </c>
      <c r="F28" s="11">
        <v>97.06</v>
      </c>
      <c r="G28" s="11">
        <v>95.11</v>
      </c>
      <c r="H28" s="11">
        <v>1.95</v>
      </c>
      <c r="I28" s="11">
        <v>2.0503</v>
      </c>
      <c r="J28" s="12">
        <v>103054.8</v>
      </c>
      <c r="K28" s="13">
        <v>995588.144</v>
      </c>
      <c r="L28" t="str">
        <f>'300496.SZ_元数据'!$B$5</f>
        <v>事件库1.csv + 股票日行情CSV</v>
      </c>
      <c r="M28" t="s">
        <v>104</v>
      </c>
      <c r="N28" s="3">
        <f>'300496.SZ_元数据'!$B$4</f>
        <v>45159</v>
      </c>
      <c r="O28">
        <f t="shared" si="0"/>
        <v>27</v>
      </c>
      <c r="P28">
        <f t="shared" si="1"/>
        <v>64</v>
      </c>
      <c r="Q28">
        <f t="shared" si="2"/>
        <v>-37</v>
      </c>
      <c r="R28" t="str">
        <f t="shared" si="3"/>
        <v>事件前100个交易日</v>
      </c>
    </row>
    <row r="29" spans="1:18">
      <c r="A29" t="s">
        <v>33</v>
      </c>
      <c r="B29" s="3">
        <v>45107</v>
      </c>
      <c r="C29" s="11">
        <v>96.8</v>
      </c>
      <c r="D29" s="11">
        <v>97.21</v>
      </c>
      <c r="E29" s="11">
        <v>93.47</v>
      </c>
      <c r="F29" s="11">
        <v>96.35</v>
      </c>
      <c r="G29" s="11">
        <v>97.06</v>
      </c>
      <c r="H29" s="11">
        <v>-0.71</v>
      </c>
      <c r="I29" s="11">
        <v>-0.7315</v>
      </c>
      <c r="J29" s="12">
        <v>106773.85</v>
      </c>
      <c r="K29" s="13">
        <v>1019954.165</v>
      </c>
      <c r="L29" t="str">
        <f>'300496.SZ_元数据'!$B$5</f>
        <v>事件库1.csv + 股票日行情CSV</v>
      </c>
      <c r="M29" t="s">
        <v>104</v>
      </c>
      <c r="N29" s="3">
        <f>'300496.SZ_元数据'!$B$4</f>
        <v>45159</v>
      </c>
      <c r="O29">
        <f t="shared" si="0"/>
        <v>28</v>
      </c>
      <c r="P29">
        <f t="shared" si="1"/>
        <v>64</v>
      </c>
      <c r="Q29">
        <f t="shared" si="2"/>
        <v>-36</v>
      </c>
      <c r="R29" t="str">
        <f t="shared" si="3"/>
        <v>事件前100个交易日</v>
      </c>
    </row>
    <row r="30" spans="1:18">
      <c r="A30" t="s">
        <v>33</v>
      </c>
      <c r="B30" s="3">
        <v>45110</v>
      </c>
      <c r="C30" s="11">
        <v>96.65</v>
      </c>
      <c r="D30" s="11">
        <v>100.17</v>
      </c>
      <c r="E30" s="11">
        <v>96.41</v>
      </c>
      <c r="F30" s="11">
        <v>97.58</v>
      </c>
      <c r="G30" s="11">
        <v>96.35</v>
      </c>
      <c r="H30" s="11">
        <v>1.23</v>
      </c>
      <c r="I30" s="11">
        <v>1.2766</v>
      </c>
      <c r="J30" s="12">
        <v>90259.52</v>
      </c>
      <c r="K30" s="13">
        <v>885327.535</v>
      </c>
      <c r="L30" t="str">
        <f>'300496.SZ_元数据'!$B$5</f>
        <v>事件库1.csv + 股票日行情CSV</v>
      </c>
      <c r="M30" t="s">
        <v>104</v>
      </c>
      <c r="N30" s="3">
        <f>'300496.SZ_元数据'!$B$4</f>
        <v>45159</v>
      </c>
      <c r="O30">
        <f t="shared" si="0"/>
        <v>29</v>
      </c>
      <c r="P30">
        <f t="shared" si="1"/>
        <v>64</v>
      </c>
      <c r="Q30">
        <f t="shared" si="2"/>
        <v>-35</v>
      </c>
      <c r="R30" t="str">
        <f t="shared" si="3"/>
        <v>事件前100个交易日</v>
      </c>
    </row>
    <row r="31" spans="1:18">
      <c r="A31" t="s">
        <v>33</v>
      </c>
      <c r="B31" s="3">
        <v>45111</v>
      </c>
      <c r="C31" s="11">
        <v>96.5</v>
      </c>
      <c r="D31" s="11">
        <v>112.54</v>
      </c>
      <c r="E31" s="11">
        <v>96</v>
      </c>
      <c r="F31" s="11">
        <v>109.05</v>
      </c>
      <c r="G31" s="11">
        <v>97.58</v>
      </c>
      <c r="H31" s="11">
        <v>11.47</v>
      </c>
      <c r="I31" s="11">
        <v>11.7545</v>
      </c>
      <c r="J31" s="12">
        <v>253964.79</v>
      </c>
      <c r="K31" s="13">
        <v>2707317.218</v>
      </c>
      <c r="L31" t="str">
        <f>'300496.SZ_元数据'!$B$5</f>
        <v>事件库1.csv + 股票日行情CSV</v>
      </c>
      <c r="M31" t="s">
        <v>104</v>
      </c>
      <c r="N31" s="3">
        <f>'300496.SZ_元数据'!$B$4</f>
        <v>45159</v>
      </c>
      <c r="O31">
        <f t="shared" si="0"/>
        <v>30</v>
      </c>
      <c r="P31">
        <f t="shared" si="1"/>
        <v>64</v>
      </c>
      <c r="Q31">
        <f t="shared" si="2"/>
        <v>-34</v>
      </c>
      <c r="R31" t="str">
        <f t="shared" si="3"/>
        <v>事件前100个交易日</v>
      </c>
    </row>
    <row r="32" spans="1:18">
      <c r="A32" t="s">
        <v>33</v>
      </c>
      <c r="B32" s="3">
        <v>45112</v>
      </c>
      <c r="C32" s="11">
        <v>110.04</v>
      </c>
      <c r="D32" s="11">
        <v>110.99</v>
      </c>
      <c r="E32" s="11">
        <v>104.18</v>
      </c>
      <c r="F32" s="11">
        <v>104.79</v>
      </c>
      <c r="G32" s="11">
        <v>109.05</v>
      </c>
      <c r="H32" s="11">
        <v>-4.26</v>
      </c>
      <c r="I32" s="11">
        <v>-3.9065</v>
      </c>
      <c r="J32" s="12">
        <v>157765.85</v>
      </c>
      <c r="K32" s="13">
        <v>1697431.356</v>
      </c>
      <c r="L32" t="str">
        <f>'300496.SZ_元数据'!$B$5</f>
        <v>事件库1.csv + 股票日行情CSV</v>
      </c>
      <c r="M32" t="s">
        <v>104</v>
      </c>
      <c r="N32" s="3">
        <f>'300496.SZ_元数据'!$B$4</f>
        <v>45159</v>
      </c>
      <c r="O32">
        <f t="shared" si="0"/>
        <v>31</v>
      </c>
      <c r="P32">
        <f t="shared" si="1"/>
        <v>64</v>
      </c>
      <c r="Q32">
        <f t="shared" si="2"/>
        <v>-33</v>
      </c>
      <c r="R32" t="str">
        <f t="shared" si="3"/>
        <v>事件前100个交易日</v>
      </c>
    </row>
    <row r="33" spans="1:18">
      <c r="A33" t="s">
        <v>33</v>
      </c>
      <c r="B33" s="3">
        <v>45113</v>
      </c>
      <c r="C33" s="11">
        <v>103.79</v>
      </c>
      <c r="D33" s="11">
        <v>107.63</v>
      </c>
      <c r="E33" s="11">
        <v>103.2</v>
      </c>
      <c r="F33" s="11">
        <v>105.67</v>
      </c>
      <c r="G33" s="11">
        <v>104.79</v>
      </c>
      <c r="H33" s="11">
        <v>0.88</v>
      </c>
      <c r="I33" s="11">
        <v>0.8398</v>
      </c>
      <c r="J33" s="12">
        <v>113478.12</v>
      </c>
      <c r="K33" s="13">
        <v>1200574.83</v>
      </c>
      <c r="L33" t="str">
        <f>'300496.SZ_元数据'!$B$5</f>
        <v>事件库1.csv + 股票日行情CSV</v>
      </c>
      <c r="M33" t="s">
        <v>104</v>
      </c>
      <c r="N33" s="3">
        <f>'300496.SZ_元数据'!$B$4</f>
        <v>45159</v>
      </c>
      <c r="O33">
        <f t="shared" si="0"/>
        <v>32</v>
      </c>
      <c r="P33">
        <f t="shared" si="1"/>
        <v>64</v>
      </c>
      <c r="Q33">
        <f t="shared" si="2"/>
        <v>-32</v>
      </c>
      <c r="R33" t="str">
        <f t="shared" si="3"/>
        <v>事件前100个交易日</v>
      </c>
    </row>
    <row r="34" spans="1:18">
      <c r="A34" t="s">
        <v>33</v>
      </c>
      <c r="B34" s="3">
        <v>45114</v>
      </c>
      <c r="C34" s="11">
        <v>104.85</v>
      </c>
      <c r="D34" s="11">
        <v>105.67</v>
      </c>
      <c r="E34" s="11">
        <v>99.34</v>
      </c>
      <c r="F34" s="11">
        <v>101.12</v>
      </c>
      <c r="G34" s="11">
        <v>105.67</v>
      </c>
      <c r="H34" s="11">
        <v>-4.55</v>
      </c>
      <c r="I34" s="11">
        <v>-4.3059</v>
      </c>
      <c r="J34" s="12">
        <v>121039.04</v>
      </c>
      <c r="K34" s="13">
        <v>1228509.431</v>
      </c>
      <c r="L34" t="str">
        <f>'300496.SZ_元数据'!$B$5</f>
        <v>事件库1.csv + 股票日行情CSV</v>
      </c>
      <c r="M34" t="s">
        <v>104</v>
      </c>
      <c r="N34" s="3">
        <f>'300496.SZ_元数据'!$B$4</f>
        <v>45159</v>
      </c>
      <c r="O34">
        <f t="shared" si="0"/>
        <v>33</v>
      </c>
      <c r="P34">
        <f t="shared" si="1"/>
        <v>64</v>
      </c>
      <c r="Q34">
        <f t="shared" si="2"/>
        <v>-31</v>
      </c>
      <c r="R34" t="str">
        <f t="shared" si="3"/>
        <v>事件前100个交易日</v>
      </c>
    </row>
    <row r="35" spans="1:18">
      <c r="A35" t="s">
        <v>33</v>
      </c>
      <c r="B35" s="3">
        <v>45117</v>
      </c>
      <c r="C35" s="11">
        <v>102.03</v>
      </c>
      <c r="D35" s="11">
        <v>103.3</v>
      </c>
      <c r="E35" s="11">
        <v>100.28</v>
      </c>
      <c r="F35" s="11">
        <v>101.12</v>
      </c>
      <c r="G35" s="11">
        <v>101.12</v>
      </c>
      <c r="H35" s="11">
        <v>0</v>
      </c>
      <c r="I35" s="11">
        <v>0</v>
      </c>
      <c r="J35" s="12">
        <v>79526.12</v>
      </c>
      <c r="K35" s="13">
        <v>807344.399</v>
      </c>
      <c r="L35" t="str">
        <f>'300496.SZ_元数据'!$B$5</f>
        <v>事件库1.csv + 股票日行情CSV</v>
      </c>
      <c r="M35" t="s">
        <v>104</v>
      </c>
      <c r="N35" s="3">
        <f>'300496.SZ_元数据'!$B$4</f>
        <v>45159</v>
      </c>
      <c r="O35">
        <f t="shared" si="0"/>
        <v>34</v>
      </c>
      <c r="P35">
        <f t="shared" si="1"/>
        <v>64</v>
      </c>
      <c r="Q35">
        <f t="shared" si="2"/>
        <v>-30</v>
      </c>
      <c r="R35" t="str">
        <f t="shared" si="3"/>
        <v>事件前100个交易日</v>
      </c>
    </row>
    <row r="36" spans="1:18">
      <c r="A36" t="s">
        <v>33</v>
      </c>
      <c r="B36" s="3">
        <v>45118</v>
      </c>
      <c r="C36" s="11">
        <v>100.52</v>
      </c>
      <c r="D36" s="11">
        <v>106.16</v>
      </c>
      <c r="E36" s="11">
        <v>98.78</v>
      </c>
      <c r="F36" s="11">
        <v>105.08</v>
      </c>
      <c r="G36" s="11">
        <v>101.12</v>
      </c>
      <c r="H36" s="11">
        <v>3.96</v>
      </c>
      <c r="I36" s="11">
        <v>3.9161</v>
      </c>
      <c r="J36" s="12">
        <v>139250.85</v>
      </c>
      <c r="K36" s="13">
        <v>1431068.028</v>
      </c>
      <c r="L36" t="str">
        <f>'300496.SZ_元数据'!$B$5</f>
        <v>事件库1.csv + 股票日行情CSV</v>
      </c>
      <c r="M36" t="s">
        <v>104</v>
      </c>
      <c r="N36" s="3">
        <f>'300496.SZ_元数据'!$B$4</f>
        <v>45159</v>
      </c>
      <c r="O36">
        <f t="shared" si="0"/>
        <v>35</v>
      </c>
      <c r="P36">
        <f t="shared" si="1"/>
        <v>64</v>
      </c>
      <c r="Q36">
        <f t="shared" si="2"/>
        <v>-29</v>
      </c>
      <c r="R36" t="str">
        <f t="shared" si="3"/>
        <v>事件前100个交易日</v>
      </c>
    </row>
    <row r="37" spans="1:18">
      <c r="A37" t="s">
        <v>33</v>
      </c>
      <c r="B37" s="3">
        <v>45119</v>
      </c>
      <c r="C37" s="11">
        <v>105.08</v>
      </c>
      <c r="D37" s="11">
        <v>106.62</v>
      </c>
      <c r="E37" s="11">
        <v>101</v>
      </c>
      <c r="F37" s="11">
        <v>101.3</v>
      </c>
      <c r="G37" s="11">
        <v>105.08</v>
      </c>
      <c r="H37" s="11">
        <v>-3.78</v>
      </c>
      <c r="I37" s="11">
        <v>-3.5973</v>
      </c>
      <c r="J37" s="12">
        <v>105578.36</v>
      </c>
      <c r="K37" s="13">
        <v>1095599.595</v>
      </c>
      <c r="L37" t="str">
        <f>'300496.SZ_元数据'!$B$5</f>
        <v>事件库1.csv + 股票日行情CSV</v>
      </c>
      <c r="M37" t="s">
        <v>104</v>
      </c>
      <c r="N37" s="3">
        <f>'300496.SZ_元数据'!$B$4</f>
        <v>45159</v>
      </c>
      <c r="O37">
        <f t="shared" si="0"/>
        <v>36</v>
      </c>
      <c r="P37">
        <f t="shared" si="1"/>
        <v>64</v>
      </c>
      <c r="Q37">
        <f t="shared" si="2"/>
        <v>-28</v>
      </c>
      <c r="R37" t="str">
        <f t="shared" si="3"/>
        <v>事件前100个交易日</v>
      </c>
    </row>
    <row r="38" spans="1:18">
      <c r="A38" t="s">
        <v>33</v>
      </c>
      <c r="B38" s="3">
        <v>45120</v>
      </c>
      <c r="C38" s="11">
        <v>101.33</v>
      </c>
      <c r="D38" s="11">
        <v>102</v>
      </c>
      <c r="E38" s="11">
        <v>98.15</v>
      </c>
      <c r="F38" s="11">
        <v>99.8</v>
      </c>
      <c r="G38" s="11">
        <v>101.3</v>
      </c>
      <c r="H38" s="11">
        <v>-1.5</v>
      </c>
      <c r="I38" s="11">
        <v>-1.4808</v>
      </c>
      <c r="J38" s="12">
        <v>136404.9</v>
      </c>
      <c r="K38" s="13">
        <v>1361478.154</v>
      </c>
      <c r="L38" t="str">
        <f>'300496.SZ_元数据'!$B$5</f>
        <v>事件库1.csv + 股票日行情CSV</v>
      </c>
      <c r="M38" t="s">
        <v>104</v>
      </c>
      <c r="N38" s="3">
        <f>'300496.SZ_元数据'!$B$4</f>
        <v>45159</v>
      </c>
      <c r="O38">
        <f t="shared" si="0"/>
        <v>37</v>
      </c>
      <c r="P38">
        <f t="shared" si="1"/>
        <v>64</v>
      </c>
      <c r="Q38">
        <f t="shared" si="2"/>
        <v>-27</v>
      </c>
      <c r="R38" t="str">
        <f t="shared" si="3"/>
        <v>事件前100个交易日</v>
      </c>
    </row>
    <row r="39" spans="1:18">
      <c r="A39" t="s">
        <v>33</v>
      </c>
      <c r="B39" s="3">
        <v>45121</v>
      </c>
      <c r="C39" s="11">
        <v>99.7</v>
      </c>
      <c r="D39" s="11">
        <v>101.34</v>
      </c>
      <c r="E39" s="11">
        <v>99.11</v>
      </c>
      <c r="F39" s="11">
        <v>100.07</v>
      </c>
      <c r="G39" s="11">
        <v>99.8</v>
      </c>
      <c r="H39" s="11">
        <v>0.27</v>
      </c>
      <c r="I39" s="11">
        <v>0.2705</v>
      </c>
      <c r="J39" s="12">
        <v>84011.8</v>
      </c>
      <c r="K39" s="13">
        <v>839760.981</v>
      </c>
      <c r="L39" t="str">
        <f>'300496.SZ_元数据'!$B$5</f>
        <v>事件库1.csv + 股票日行情CSV</v>
      </c>
      <c r="M39" t="s">
        <v>104</v>
      </c>
      <c r="N39" s="3">
        <f>'300496.SZ_元数据'!$B$4</f>
        <v>45159</v>
      </c>
      <c r="O39">
        <f t="shared" si="0"/>
        <v>38</v>
      </c>
      <c r="P39">
        <f t="shared" si="1"/>
        <v>64</v>
      </c>
      <c r="Q39">
        <f t="shared" si="2"/>
        <v>-26</v>
      </c>
      <c r="R39" t="str">
        <f t="shared" si="3"/>
        <v>事件前100个交易日</v>
      </c>
    </row>
    <row r="40" spans="1:18">
      <c r="A40" t="s">
        <v>33</v>
      </c>
      <c r="B40" s="3">
        <v>45124</v>
      </c>
      <c r="C40" s="11">
        <v>98.99</v>
      </c>
      <c r="D40" s="11">
        <v>98.99</v>
      </c>
      <c r="E40" s="11">
        <v>97</v>
      </c>
      <c r="F40" s="11">
        <v>97.24</v>
      </c>
      <c r="G40" s="11">
        <v>100.07</v>
      </c>
      <c r="H40" s="11">
        <v>-2.83</v>
      </c>
      <c r="I40" s="11">
        <v>-2.828</v>
      </c>
      <c r="J40" s="12">
        <v>72590.87</v>
      </c>
      <c r="K40" s="13">
        <v>710200.108</v>
      </c>
      <c r="L40" t="str">
        <f>'300496.SZ_元数据'!$B$5</f>
        <v>事件库1.csv + 股票日行情CSV</v>
      </c>
      <c r="M40" t="s">
        <v>104</v>
      </c>
      <c r="N40" s="3">
        <f>'300496.SZ_元数据'!$B$4</f>
        <v>45159</v>
      </c>
      <c r="O40">
        <f t="shared" si="0"/>
        <v>39</v>
      </c>
      <c r="P40">
        <f t="shared" si="1"/>
        <v>64</v>
      </c>
      <c r="Q40">
        <f t="shared" si="2"/>
        <v>-25</v>
      </c>
      <c r="R40" t="str">
        <f t="shared" si="3"/>
        <v>事件前100个交易日</v>
      </c>
    </row>
    <row r="41" spans="1:18">
      <c r="A41" t="s">
        <v>33</v>
      </c>
      <c r="B41" s="3">
        <v>45125</v>
      </c>
      <c r="C41" s="11">
        <v>97.8</v>
      </c>
      <c r="D41" s="11">
        <v>98.87</v>
      </c>
      <c r="E41" s="11">
        <v>97.18</v>
      </c>
      <c r="F41" s="11">
        <v>97.3</v>
      </c>
      <c r="G41" s="11">
        <v>97.24</v>
      </c>
      <c r="H41" s="11">
        <v>0.06</v>
      </c>
      <c r="I41" s="11">
        <v>0.0617</v>
      </c>
      <c r="J41" s="12">
        <v>52357.13</v>
      </c>
      <c r="K41" s="13">
        <v>512928.489</v>
      </c>
      <c r="L41" t="str">
        <f>'300496.SZ_元数据'!$B$5</f>
        <v>事件库1.csv + 股票日行情CSV</v>
      </c>
      <c r="M41" t="s">
        <v>104</v>
      </c>
      <c r="N41" s="3">
        <f>'300496.SZ_元数据'!$B$4</f>
        <v>45159</v>
      </c>
      <c r="O41">
        <f t="shared" si="0"/>
        <v>40</v>
      </c>
      <c r="P41">
        <f t="shared" si="1"/>
        <v>64</v>
      </c>
      <c r="Q41">
        <f t="shared" si="2"/>
        <v>-24</v>
      </c>
      <c r="R41" t="str">
        <f t="shared" si="3"/>
        <v>事件前100个交易日</v>
      </c>
    </row>
    <row r="42" spans="1:18">
      <c r="A42" t="s">
        <v>33</v>
      </c>
      <c r="B42" s="3">
        <v>45126</v>
      </c>
      <c r="C42" s="11">
        <v>98.3</v>
      </c>
      <c r="D42" s="11">
        <v>99.77</v>
      </c>
      <c r="E42" s="11">
        <v>97.32</v>
      </c>
      <c r="F42" s="11">
        <v>98.12</v>
      </c>
      <c r="G42" s="11">
        <v>97.3</v>
      </c>
      <c r="H42" s="11">
        <v>0.82</v>
      </c>
      <c r="I42" s="11">
        <v>0.8428</v>
      </c>
      <c r="J42" s="12">
        <v>53610.56</v>
      </c>
      <c r="K42" s="13">
        <v>527705.434</v>
      </c>
      <c r="L42" t="str">
        <f>'300496.SZ_元数据'!$B$5</f>
        <v>事件库1.csv + 股票日行情CSV</v>
      </c>
      <c r="M42" t="s">
        <v>104</v>
      </c>
      <c r="N42" s="3">
        <f>'300496.SZ_元数据'!$B$4</f>
        <v>45159</v>
      </c>
      <c r="O42">
        <f t="shared" si="0"/>
        <v>41</v>
      </c>
      <c r="P42">
        <f t="shared" si="1"/>
        <v>64</v>
      </c>
      <c r="Q42">
        <f t="shared" si="2"/>
        <v>-23</v>
      </c>
      <c r="R42" t="str">
        <f t="shared" si="3"/>
        <v>事件前100个交易日</v>
      </c>
    </row>
    <row r="43" spans="1:18">
      <c r="A43" t="s">
        <v>33</v>
      </c>
      <c r="B43" s="3">
        <v>45127</v>
      </c>
      <c r="C43" s="11">
        <v>97.9</v>
      </c>
      <c r="D43" s="11">
        <v>98.05</v>
      </c>
      <c r="E43" s="11">
        <v>91.33</v>
      </c>
      <c r="F43" s="11">
        <v>91.52</v>
      </c>
      <c r="G43" s="11">
        <v>98.12</v>
      </c>
      <c r="H43" s="11">
        <v>-6.6</v>
      </c>
      <c r="I43" s="11">
        <v>-6.7265</v>
      </c>
      <c r="J43" s="12">
        <v>132666.71</v>
      </c>
      <c r="K43" s="13">
        <v>1241310.357</v>
      </c>
      <c r="L43" t="str">
        <f>'300496.SZ_元数据'!$B$5</f>
        <v>事件库1.csv + 股票日行情CSV</v>
      </c>
      <c r="M43" t="s">
        <v>104</v>
      </c>
      <c r="N43" s="3">
        <f>'300496.SZ_元数据'!$B$4</f>
        <v>45159</v>
      </c>
      <c r="O43">
        <f t="shared" si="0"/>
        <v>42</v>
      </c>
      <c r="P43">
        <f t="shared" si="1"/>
        <v>64</v>
      </c>
      <c r="Q43">
        <f t="shared" si="2"/>
        <v>-22</v>
      </c>
      <c r="R43" t="str">
        <f t="shared" si="3"/>
        <v>事件前100个交易日</v>
      </c>
    </row>
    <row r="44" spans="1:18">
      <c r="A44" t="s">
        <v>33</v>
      </c>
      <c r="B44" s="3">
        <v>45128</v>
      </c>
      <c r="C44" s="11">
        <v>91.2</v>
      </c>
      <c r="D44" s="11">
        <v>91.39</v>
      </c>
      <c r="E44" s="11">
        <v>88.62</v>
      </c>
      <c r="F44" s="11">
        <v>89.65</v>
      </c>
      <c r="G44" s="11">
        <v>91.52</v>
      </c>
      <c r="H44" s="11">
        <v>-1.87</v>
      </c>
      <c r="I44" s="11">
        <v>-2.0433</v>
      </c>
      <c r="J44" s="12">
        <v>80626.61</v>
      </c>
      <c r="K44" s="13">
        <v>724306.363</v>
      </c>
      <c r="L44" t="str">
        <f>'300496.SZ_元数据'!$B$5</f>
        <v>事件库1.csv + 股票日行情CSV</v>
      </c>
      <c r="M44" t="s">
        <v>104</v>
      </c>
      <c r="N44" s="3">
        <f>'300496.SZ_元数据'!$B$4</f>
        <v>45159</v>
      </c>
      <c r="O44">
        <f t="shared" si="0"/>
        <v>43</v>
      </c>
      <c r="P44">
        <f t="shared" si="1"/>
        <v>64</v>
      </c>
      <c r="Q44">
        <f t="shared" si="2"/>
        <v>-21</v>
      </c>
      <c r="R44" t="str">
        <f t="shared" si="3"/>
        <v>事件前100个交易日</v>
      </c>
    </row>
    <row r="45" spans="1:18">
      <c r="A45" t="s">
        <v>33</v>
      </c>
      <c r="B45" s="3">
        <v>45131</v>
      </c>
      <c r="C45" s="11">
        <v>89.12</v>
      </c>
      <c r="D45" s="11">
        <v>90.53</v>
      </c>
      <c r="E45" s="11">
        <v>88.8</v>
      </c>
      <c r="F45" s="11">
        <v>89.38</v>
      </c>
      <c r="G45" s="11">
        <v>89.65</v>
      </c>
      <c r="H45" s="11">
        <v>-0.27</v>
      </c>
      <c r="I45" s="11">
        <v>-0.3012</v>
      </c>
      <c r="J45" s="12">
        <v>52610.46</v>
      </c>
      <c r="K45" s="13">
        <v>471932.156</v>
      </c>
      <c r="L45" t="str">
        <f>'300496.SZ_元数据'!$B$5</f>
        <v>事件库1.csv + 股票日行情CSV</v>
      </c>
      <c r="M45" t="s">
        <v>104</v>
      </c>
      <c r="N45" s="3">
        <f>'300496.SZ_元数据'!$B$4</f>
        <v>45159</v>
      </c>
      <c r="O45">
        <f t="shared" si="0"/>
        <v>44</v>
      </c>
      <c r="P45">
        <f t="shared" si="1"/>
        <v>64</v>
      </c>
      <c r="Q45">
        <f t="shared" si="2"/>
        <v>-20</v>
      </c>
      <c r="R45" t="str">
        <f t="shared" si="3"/>
        <v>事件前100个交易日</v>
      </c>
    </row>
    <row r="46" spans="1:18">
      <c r="A46" t="s">
        <v>33</v>
      </c>
      <c r="B46" s="3">
        <v>45132</v>
      </c>
      <c r="C46" s="11">
        <v>90.45</v>
      </c>
      <c r="D46" s="11">
        <v>91.83</v>
      </c>
      <c r="E46" s="11">
        <v>89.31</v>
      </c>
      <c r="F46" s="11">
        <v>90.53</v>
      </c>
      <c r="G46" s="11">
        <v>89.38</v>
      </c>
      <c r="H46" s="11">
        <v>1.15</v>
      </c>
      <c r="I46" s="11">
        <v>1.2866</v>
      </c>
      <c r="J46" s="12">
        <v>85839.38</v>
      </c>
      <c r="K46" s="13">
        <v>774829.969</v>
      </c>
      <c r="L46" t="str">
        <f>'300496.SZ_元数据'!$B$5</f>
        <v>事件库1.csv + 股票日行情CSV</v>
      </c>
      <c r="M46" t="s">
        <v>104</v>
      </c>
      <c r="N46" s="3">
        <f>'300496.SZ_元数据'!$B$4</f>
        <v>45159</v>
      </c>
      <c r="O46">
        <f t="shared" si="0"/>
        <v>45</v>
      </c>
      <c r="P46">
        <f t="shared" si="1"/>
        <v>64</v>
      </c>
      <c r="Q46">
        <f t="shared" si="2"/>
        <v>-19</v>
      </c>
      <c r="R46" t="str">
        <f t="shared" si="3"/>
        <v>事件前100个交易日</v>
      </c>
    </row>
    <row r="47" spans="1:18">
      <c r="A47" t="s">
        <v>33</v>
      </c>
      <c r="B47" s="3">
        <v>45133</v>
      </c>
      <c r="C47" s="11">
        <v>90</v>
      </c>
      <c r="D47" s="11">
        <v>90.05</v>
      </c>
      <c r="E47" s="11">
        <v>87.83</v>
      </c>
      <c r="F47" s="11">
        <v>88.2</v>
      </c>
      <c r="G47" s="11">
        <v>90.53</v>
      </c>
      <c r="H47" s="11">
        <v>-2.33</v>
      </c>
      <c r="I47" s="11">
        <v>-2.5737</v>
      </c>
      <c r="J47" s="12">
        <v>69058.28</v>
      </c>
      <c r="K47" s="13">
        <v>610643.899</v>
      </c>
      <c r="L47" t="str">
        <f>'300496.SZ_元数据'!$B$5</f>
        <v>事件库1.csv + 股票日行情CSV</v>
      </c>
      <c r="M47" t="s">
        <v>104</v>
      </c>
      <c r="N47" s="3">
        <f>'300496.SZ_元数据'!$B$4</f>
        <v>45159</v>
      </c>
      <c r="O47">
        <f t="shared" si="0"/>
        <v>46</v>
      </c>
      <c r="P47">
        <f t="shared" si="1"/>
        <v>64</v>
      </c>
      <c r="Q47">
        <f t="shared" si="2"/>
        <v>-18</v>
      </c>
      <c r="R47" t="str">
        <f t="shared" si="3"/>
        <v>事件前100个交易日</v>
      </c>
    </row>
    <row r="48" spans="1:18">
      <c r="A48" t="s">
        <v>33</v>
      </c>
      <c r="B48" s="3">
        <v>45134</v>
      </c>
      <c r="C48" s="11">
        <v>91</v>
      </c>
      <c r="D48" s="11">
        <v>92.43</v>
      </c>
      <c r="E48" s="11">
        <v>87.95</v>
      </c>
      <c r="F48" s="11">
        <v>87.95</v>
      </c>
      <c r="G48" s="11">
        <v>88.2</v>
      </c>
      <c r="H48" s="11">
        <v>-0.25</v>
      </c>
      <c r="I48" s="11">
        <v>-0.2834</v>
      </c>
      <c r="J48" s="12">
        <v>88862.61</v>
      </c>
      <c r="K48" s="13">
        <v>797239.938</v>
      </c>
      <c r="L48" t="str">
        <f>'300496.SZ_元数据'!$B$5</f>
        <v>事件库1.csv + 股票日行情CSV</v>
      </c>
      <c r="M48" t="s">
        <v>104</v>
      </c>
      <c r="N48" s="3">
        <f>'300496.SZ_元数据'!$B$4</f>
        <v>45159</v>
      </c>
      <c r="O48">
        <f t="shared" si="0"/>
        <v>47</v>
      </c>
      <c r="P48">
        <f t="shared" si="1"/>
        <v>64</v>
      </c>
      <c r="Q48">
        <f t="shared" si="2"/>
        <v>-17</v>
      </c>
      <c r="R48" t="str">
        <f t="shared" si="3"/>
        <v>事件前100个交易日</v>
      </c>
    </row>
    <row r="49" spans="1:18">
      <c r="A49" t="s">
        <v>33</v>
      </c>
      <c r="B49" s="3">
        <v>45135</v>
      </c>
      <c r="C49" s="11">
        <v>86.99</v>
      </c>
      <c r="D49" s="11">
        <v>89.88</v>
      </c>
      <c r="E49" s="11">
        <v>85.6</v>
      </c>
      <c r="F49" s="11">
        <v>89</v>
      </c>
      <c r="G49" s="11">
        <v>87.95</v>
      </c>
      <c r="H49" s="11">
        <v>1.05</v>
      </c>
      <c r="I49" s="11">
        <v>1.1939</v>
      </c>
      <c r="J49" s="12">
        <v>81867.41</v>
      </c>
      <c r="K49" s="13">
        <v>721732.855</v>
      </c>
      <c r="L49" t="str">
        <f>'300496.SZ_元数据'!$B$5</f>
        <v>事件库1.csv + 股票日行情CSV</v>
      </c>
      <c r="M49" t="s">
        <v>104</v>
      </c>
      <c r="N49" s="3">
        <f>'300496.SZ_元数据'!$B$4</f>
        <v>45159</v>
      </c>
      <c r="O49">
        <f t="shared" si="0"/>
        <v>48</v>
      </c>
      <c r="P49">
        <f t="shared" si="1"/>
        <v>64</v>
      </c>
      <c r="Q49">
        <f t="shared" si="2"/>
        <v>-16</v>
      </c>
      <c r="R49" t="str">
        <f t="shared" si="3"/>
        <v>事件前100个交易日</v>
      </c>
    </row>
    <row r="50" spans="1:18">
      <c r="A50" t="s">
        <v>33</v>
      </c>
      <c r="B50" s="3">
        <v>45138</v>
      </c>
      <c r="C50" s="11">
        <v>89</v>
      </c>
      <c r="D50" s="11">
        <v>91.17</v>
      </c>
      <c r="E50" s="11">
        <v>87.64</v>
      </c>
      <c r="F50" s="11">
        <v>90.35</v>
      </c>
      <c r="G50" s="11">
        <v>89</v>
      </c>
      <c r="H50" s="11">
        <v>1.35</v>
      </c>
      <c r="I50" s="11">
        <v>1.5169</v>
      </c>
      <c r="J50" s="12">
        <v>59922.97</v>
      </c>
      <c r="K50" s="13">
        <v>539872.865</v>
      </c>
      <c r="L50" t="str">
        <f>'300496.SZ_元数据'!$B$5</f>
        <v>事件库1.csv + 股票日行情CSV</v>
      </c>
      <c r="M50" t="s">
        <v>104</v>
      </c>
      <c r="N50" s="3">
        <f>'300496.SZ_元数据'!$B$4</f>
        <v>45159</v>
      </c>
      <c r="O50">
        <f t="shared" si="0"/>
        <v>49</v>
      </c>
      <c r="P50">
        <f t="shared" si="1"/>
        <v>64</v>
      </c>
      <c r="Q50">
        <f t="shared" si="2"/>
        <v>-15</v>
      </c>
      <c r="R50" t="str">
        <f t="shared" si="3"/>
        <v>事件前100个交易日</v>
      </c>
    </row>
    <row r="51" spans="1:18">
      <c r="A51" t="s">
        <v>33</v>
      </c>
      <c r="B51" s="3">
        <v>45139</v>
      </c>
      <c r="C51" s="11">
        <v>90.39</v>
      </c>
      <c r="D51" s="11">
        <v>90.39</v>
      </c>
      <c r="E51" s="11">
        <v>88.3</v>
      </c>
      <c r="F51" s="11">
        <v>89.3</v>
      </c>
      <c r="G51" s="11">
        <v>90.35</v>
      </c>
      <c r="H51" s="11">
        <v>-1.05</v>
      </c>
      <c r="I51" s="11">
        <v>-1.1621</v>
      </c>
      <c r="J51" s="12">
        <v>51624.99</v>
      </c>
      <c r="K51" s="13">
        <v>460591.615</v>
      </c>
      <c r="L51" t="str">
        <f>'300496.SZ_元数据'!$B$5</f>
        <v>事件库1.csv + 股票日行情CSV</v>
      </c>
      <c r="M51" t="s">
        <v>104</v>
      </c>
      <c r="N51" s="3">
        <f>'300496.SZ_元数据'!$B$4</f>
        <v>45159</v>
      </c>
      <c r="O51">
        <f t="shared" si="0"/>
        <v>50</v>
      </c>
      <c r="P51">
        <f t="shared" si="1"/>
        <v>64</v>
      </c>
      <c r="Q51">
        <f t="shared" si="2"/>
        <v>-14</v>
      </c>
      <c r="R51" t="str">
        <f t="shared" si="3"/>
        <v>事件前100个交易日</v>
      </c>
    </row>
    <row r="52" spans="1:18">
      <c r="A52" t="s">
        <v>33</v>
      </c>
      <c r="B52" s="3">
        <v>45140</v>
      </c>
      <c r="C52" s="11">
        <v>89.03</v>
      </c>
      <c r="D52" s="11">
        <v>90.01</v>
      </c>
      <c r="E52" s="11">
        <v>88.38</v>
      </c>
      <c r="F52" s="11">
        <v>89.31</v>
      </c>
      <c r="G52" s="11">
        <v>89.3</v>
      </c>
      <c r="H52" s="11">
        <v>0.01</v>
      </c>
      <c r="I52" s="11">
        <v>0.0112</v>
      </c>
      <c r="J52" s="12">
        <v>33597.94</v>
      </c>
      <c r="K52" s="13">
        <v>300160.664</v>
      </c>
      <c r="L52" t="str">
        <f>'300496.SZ_元数据'!$B$5</f>
        <v>事件库1.csv + 股票日行情CSV</v>
      </c>
      <c r="M52" t="s">
        <v>104</v>
      </c>
      <c r="N52" s="3">
        <f>'300496.SZ_元数据'!$B$4</f>
        <v>45159</v>
      </c>
      <c r="O52">
        <f t="shared" si="0"/>
        <v>51</v>
      </c>
      <c r="P52">
        <f t="shared" si="1"/>
        <v>64</v>
      </c>
      <c r="Q52">
        <f t="shared" si="2"/>
        <v>-13</v>
      </c>
      <c r="R52" t="str">
        <f t="shared" si="3"/>
        <v>事件前100个交易日</v>
      </c>
    </row>
    <row r="53" spans="1:18">
      <c r="A53" t="s">
        <v>33</v>
      </c>
      <c r="B53" s="3">
        <v>45141</v>
      </c>
      <c r="C53" s="11">
        <v>89</v>
      </c>
      <c r="D53" s="11">
        <v>89.68</v>
      </c>
      <c r="E53" s="11">
        <v>88.24</v>
      </c>
      <c r="F53" s="11">
        <v>88.52</v>
      </c>
      <c r="G53" s="11">
        <v>89.31</v>
      </c>
      <c r="H53" s="11">
        <v>-0.79</v>
      </c>
      <c r="I53" s="11">
        <v>-0.8846</v>
      </c>
      <c r="J53" s="12">
        <v>40111.94</v>
      </c>
      <c r="K53" s="13">
        <v>355736.38</v>
      </c>
      <c r="L53" t="str">
        <f>'300496.SZ_元数据'!$B$5</f>
        <v>事件库1.csv + 股票日行情CSV</v>
      </c>
      <c r="M53" t="s">
        <v>104</v>
      </c>
      <c r="N53" s="3">
        <f>'300496.SZ_元数据'!$B$4</f>
        <v>45159</v>
      </c>
      <c r="O53">
        <f t="shared" si="0"/>
        <v>52</v>
      </c>
      <c r="P53">
        <f t="shared" si="1"/>
        <v>64</v>
      </c>
      <c r="Q53">
        <f t="shared" si="2"/>
        <v>-12</v>
      </c>
      <c r="R53" t="str">
        <f t="shared" si="3"/>
        <v>事件前100个交易日</v>
      </c>
    </row>
    <row r="54" spans="1:18">
      <c r="A54" t="s">
        <v>33</v>
      </c>
      <c r="B54" s="3">
        <v>45142</v>
      </c>
      <c r="C54" s="11">
        <v>88.5</v>
      </c>
      <c r="D54" s="11">
        <v>91</v>
      </c>
      <c r="E54" s="11">
        <v>88</v>
      </c>
      <c r="F54" s="11">
        <v>90.06</v>
      </c>
      <c r="G54" s="11">
        <v>88.52</v>
      </c>
      <c r="H54" s="11">
        <v>1.54</v>
      </c>
      <c r="I54" s="11">
        <v>1.7397</v>
      </c>
      <c r="J54" s="12">
        <v>72580.09</v>
      </c>
      <c r="K54" s="13">
        <v>651257.509</v>
      </c>
      <c r="L54" t="str">
        <f>'300496.SZ_元数据'!$B$5</f>
        <v>事件库1.csv + 股票日行情CSV</v>
      </c>
      <c r="M54" t="s">
        <v>104</v>
      </c>
      <c r="N54" s="3">
        <f>'300496.SZ_元数据'!$B$4</f>
        <v>45159</v>
      </c>
      <c r="O54">
        <f t="shared" si="0"/>
        <v>53</v>
      </c>
      <c r="P54">
        <f t="shared" si="1"/>
        <v>64</v>
      </c>
      <c r="Q54">
        <f t="shared" si="2"/>
        <v>-11</v>
      </c>
      <c r="R54" t="str">
        <f t="shared" si="3"/>
        <v>事件前100个交易日</v>
      </c>
    </row>
    <row r="55" spans="1:18">
      <c r="A55" t="s">
        <v>33</v>
      </c>
      <c r="B55" s="3">
        <v>45145</v>
      </c>
      <c r="C55" s="11">
        <v>90.36</v>
      </c>
      <c r="D55" s="11">
        <v>91.85</v>
      </c>
      <c r="E55" s="11">
        <v>89.76</v>
      </c>
      <c r="F55" s="11">
        <v>90.6</v>
      </c>
      <c r="G55" s="11">
        <v>90.06</v>
      </c>
      <c r="H55" s="11">
        <v>0.54</v>
      </c>
      <c r="I55" s="11">
        <v>0.5996</v>
      </c>
      <c r="J55" s="12">
        <v>67296.02</v>
      </c>
      <c r="K55" s="13">
        <v>611144.89</v>
      </c>
      <c r="L55" t="str">
        <f>'300496.SZ_元数据'!$B$5</f>
        <v>事件库1.csv + 股票日行情CSV</v>
      </c>
      <c r="M55" t="s">
        <v>104</v>
      </c>
      <c r="N55" s="3">
        <f>'300496.SZ_元数据'!$B$4</f>
        <v>45159</v>
      </c>
      <c r="O55">
        <f t="shared" si="0"/>
        <v>54</v>
      </c>
      <c r="P55">
        <f t="shared" si="1"/>
        <v>64</v>
      </c>
      <c r="Q55">
        <f t="shared" si="2"/>
        <v>-10</v>
      </c>
      <c r="R55" t="str">
        <f t="shared" si="3"/>
        <v>事件前100个交易日</v>
      </c>
    </row>
    <row r="56" spans="1:18">
      <c r="A56" t="s">
        <v>33</v>
      </c>
      <c r="B56" s="3">
        <v>45146</v>
      </c>
      <c r="C56" s="11">
        <v>90.34</v>
      </c>
      <c r="D56" s="11">
        <v>91.02</v>
      </c>
      <c r="E56" s="11">
        <v>89.86</v>
      </c>
      <c r="F56" s="11">
        <v>89.98</v>
      </c>
      <c r="G56" s="11">
        <v>90.6</v>
      </c>
      <c r="H56" s="11">
        <v>-0.62</v>
      </c>
      <c r="I56" s="11">
        <v>-0.6843</v>
      </c>
      <c r="J56" s="12">
        <v>38537.97</v>
      </c>
      <c r="K56" s="13">
        <v>348303.044</v>
      </c>
      <c r="L56" t="str">
        <f>'300496.SZ_元数据'!$B$5</f>
        <v>事件库1.csv + 股票日行情CSV</v>
      </c>
      <c r="M56" t="s">
        <v>104</v>
      </c>
      <c r="N56" s="3">
        <f>'300496.SZ_元数据'!$B$4</f>
        <v>45159</v>
      </c>
      <c r="O56">
        <f t="shared" si="0"/>
        <v>55</v>
      </c>
      <c r="P56">
        <f t="shared" si="1"/>
        <v>64</v>
      </c>
      <c r="Q56">
        <f t="shared" si="2"/>
        <v>-9</v>
      </c>
      <c r="R56" t="str">
        <f t="shared" si="3"/>
        <v>事件前100个交易日</v>
      </c>
    </row>
    <row r="57" spans="1:18">
      <c r="A57" t="s">
        <v>33</v>
      </c>
      <c r="B57" s="3">
        <v>45147</v>
      </c>
      <c r="C57" s="11">
        <v>89.9</v>
      </c>
      <c r="D57" s="11">
        <v>90.19</v>
      </c>
      <c r="E57" s="11">
        <v>87.59</v>
      </c>
      <c r="F57" s="11">
        <v>87.85</v>
      </c>
      <c r="G57" s="11">
        <v>89.98</v>
      </c>
      <c r="H57" s="11">
        <v>-2.13</v>
      </c>
      <c r="I57" s="11">
        <v>-2.3672</v>
      </c>
      <c r="J57" s="12">
        <v>60299.2</v>
      </c>
      <c r="K57" s="13">
        <v>532683.52</v>
      </c>
      <c r="L57" t="str">
        <f>'300496.SZ_元数据'!$B$5</f>
        <v>事件库1.csv + 股票日行情CSV</v>
      </c>
      <c r="M57" t="s">
        <v>104</v>
      </c>
      <c r="N57" s="3">
        <f>'300496.SZ_元数据'!$B$4</f>
        <v>45159</v>
      </c>
      <c r="O57">
        <f t="shared" si="0"/>
        <v>56</v>
      </c>
      <c r="P57">
        <f t="shared" si="1"/>
        <v>64</v>
      </c>
      <c r="Q57">
        <f t="shared" si="2"/>
        <v>-8</v>
      </c>
      <c r="R57" t="str">
        <f t="shared" si="3"/>
        <v>事件前100个交易日</v>
      </c>
    </row>
    <row r="58" spans="1:18">
      <c r="A58" t="s">
        <v>33</v>
      </c>
      <c r="B58" s="3">
        <v>45148</v>
      </c>
      <c r="C58" s="11">
        <v>87.81</v>
      </c>
      <c r="D58" s="11">
        <v>88.22</v>
      </c>
      <c r="E58" s="11">
        <v>86.5</v>
      </c>
      <c r="F58" s="11">
        <v>87.61</v>
      </c>
      <c r="G58" s="11">
        <v>87.85</v>
      </c>
      <c r="H58" s="11">
        <v>-0.24</v>
      </c>
      <c r="I58" s="11">
        <v>-0.2732</v>
      </c>
      <c r="J58" s="12">
        <v>45290.54</v>
      </c>
      <c r="K58" s="13">
        <v>395131.08</v>
      </c>
      <c r="L58" t="str">
        <f>'300496.SZ_元数据'!$B$5</f>
        <v>事件库1.csv + 股票日行情CSV</v>
      </c>
      <c r="M58" t="s">
        <v>104</v>
      </c>
      <c r="N58" s="3">
        <f>'300496.SZ_元数据'!$B$4</f>
        <v>45159</v>
      </c>
      <c r="O58">
        <f t="shared" si="0"/>
        <v>57</v>
      </c>
      <c r="P58">
        <f t="shared" si="1"/>
        <v>64</v>
      </c>
      <c r="Q58">
        <f t="shared" si="2"/>
        <v>-7</v>
      </c>
      <c r="R58" t="str">
        <f t="shared" si="3"/>
        <v>事件前100个交易日</v>
      </c>
    </row>
    <row r="59" spans="1:18">
      <c r="A59" t="s">
        <v>33</v>
      </c>
      <c r="B59" s="3">
        <v>45149</v>
      </c>
      <c r="C59" s="11">
        <v>87.5</v>
      </c>
      <c r="D59" s="11">
        <v>88.03</v>
      </c>
      <c r="E59" s="11">
        <v>85.66</v>
      </c>
      <c r="F59" s="11">
        <v>85.69</v>
      </c>
      <c r="G59" s="11">
        <v>87.61</v>
      </c>
      <c r="H59" s="11">
        <v>-1.92</v>
      </c>
      <c r="I59" s="11">
        <v>-2.1915</v>
      </c>
      <c r="J59" s="12">
        <v>38267.1</v>
      </c>
      <c r="K59" s="13">
        <v>332038.804</v>
      </c>
      <c r="L59" t="str">
        <f>'300496.SZ_元数据'!$B$5</f>
        <v>事件库1.csv + 股票日行情CSV</v>
      </c>
      <c r="M59" t="s">
        <v>104</v>
      </c>
      <c r="N59" s="3">
        <f>'300496.SZ_元数据'!$B$4</f>
        <v>45159</v>
      </c>
      <c r="O59">
        <f t="shared" si="0"/>
        <v>58</v>
      </c>
      <c r="P59">
        <f t="shared" si="1"/>
        <v>64</v>
      </c>
      <c r="Q59">
        <f t="shared" si="2"/>
        <v>-6</v>
      </c>
      <c r="R59" t="str">
        <f t="shared" si="3"/>
        <v>事件前100个交易日</v>
      </c>
    </row>
    <row r="60" spans="1:18">
      <c r="A60" t="s">
        <v>33</v>
      </c>
      <c r="B60" s="3">
        <v>45152</v>
      </c>
      <c r="C60" s="11">
        <v>84.5</v>
      </c>
      <c r="D60" s="11">
        <v>86.58</v>
      </c>
      <c r="E60" s="11">
        <v>84.11</v>
      </c>
      <c r="F60" s="11">
        <v>86.35</v>
      </c>
      <c r="G60" s="11">
        <v>85.69</v>
      </c>
      <c r="H60" s="11">
        <v>0.66</v>
      </c>
      <c r="I60" s="11">
        <v>0.7702</v>
      </c>
      <c r="J60" s="12">
        <v>43442.42</v>
      </c>
      <c r="K60" s="13">
        <v>370902.144</v>
      </c>
      <c r="L60" t="str">
        <f>'300496.SZ_元数据'!$B$5</f>
        <v>事件库1.csv + 股票日行情CSV</v>
      </c>
      <c r="M60" t="s">
        <v>104</v>
      </c>
      <c r="N60" s="3">
        <f>'300496.SZ_元数据'!$B$4</f>
        <v>45159</v>
      </c>
      <c r="O60">
        <f t="shared" si="0"/>
        <v>59</v>
      </c>
      <c r="P60">
        <f t="shared" si="1"/>
        <v>64</v>
      </c>
      <c r="Q60">
        <f t="shared" si="2"/>
        <v>-5</v>
      </c>
      <c r="R60" t="str">
        <f t="shared" si="3"/>
        <v>事件前100个交易日</v>
      </c>
    </row>
    <row r="61" spans="1:18">
      <c r="A61" t="s">
        <v>33</v>
      </c>
      <c r="B61" s="3">
        <v>45153</v>
      </c>
      <c r="C61" s="11">
        <v>86.49</v>
      </c>
      <c r="D61" s="11">
        <v>86.66</v>
      </c>
      <c r="E61" s="11">
        <v>83.36</v>
      </c>
      <c r="F61" s="11">
        <v>83.88</v>
      </c>
      <c r="G61" s="11">
        <v>86.35</v>
      </c>
      <c r="H61" s="11">
        <v>-2.47</v>
      </c>
      <c r="I61" s="11">
        <v>-2.8605</v>
      </c>
      <c r="J61" s="12">
        <v>58084.32</v>
      </c>
      <c r="K61" s="13">
        <v>489315.112</v>
      </c>
      <c r="L61" t="str">
        <f>'300496.SZ_元数据'!$B$5</f>
        <v>事件库1.csv + 股票日行情CSV</v>
      </c>
      <c r="M61" t="s">
        <v>104</v>
      </c>
      <c r="N61" s="3">
        <f>'300496.SZ_元数据'!$B$4</f>
        <v>45159</v>
      </c>
      <c r="O61">
        <f t="shared" si="0"/>
        <v>60</v>
      </c>
      <c r="P61">
        <f t="shared" si="1"/>
        <v>64</v>
      </c>
      <c r="Q61">
        <f t="shared" si="2"/>
        <v>-4</v>
      </c>
      <c r="R61" t="str">
        <f t="shared" si="3"/>
        <v>事件前100个交易日</v>
      </c>
    </row>
    <row r="62" spans="1:18">
      <c r="A62" t="s">
        <v>33</v>
      </c>
      <c r="B62" s="3">
        <v>45154</v>
      </c>
      <c r="C62" s="11">
        <v>84.76</v>
      </c>
      <c r="D62" s="11">
        <v>85.38</v>
      </c>
      <c r="E62" s="11">
        <v>82.44</v>
      </c>
      <c r="F62" s="11">
        <v>82.54</v>
      </c>
      <c r="G62" s="11">
        <v>83.88</v>
      </c>
      <c r="H62" s="11">
        <v>-1.34</v>
      </c>
      <c r="I62" s="11">
        <v>-1.5975</v>
      </c>
      <c r="J62" s="12">
        <v>64330.19</v>
      </c>
      <c r="K62" s="13">
        <v>538704.779</v>
      </c>
      <c r="L62" t="str">
        <f>'300496.SZ_元数据'!$B$5</f>
        <v>事件库1.csv + 股票日行情CSV</v>
      </c>
      <c r="M62" t="s">
        <v>104</v>
      </c>
      <c r="N62" s="3">
        <f>'300496.SZ_元数据'!$B$4</f>
        <v>45159</v>
      </c>
      <c r="O62">
        <f t="shared" si="0"/>
        <v>61</v>
      </c>
      <c r="P62">
        <f t="shared" si="1"/>
        <v>64</v>
      </c>
      <c r="Q62">
        <f t="shared" si="2"/>
        <v>-3</v>
      </c>
      <c r="R62" t="str">
        <f t="shared" si="3"/>
        <v>事件前100个交易日</v>
      </c>
    </row>
    <row r="63" spans="1:18">
      <c r="A63" t="s">
        <v>33</v>
      </c>
      <c r="B63" s="3">
        <v>45155</v>
      </c>
      <c r="C63" s="11">
        <v>82.5</v>
      </c>
      <c r="D63" s="11">
        <v>83.5</v>
      </c>
      <c r="E63" s="11">
        <v>81.5</v>
      </c>
      <c r="F63" s="11">
        <v>82.74</v>
      </c>
      <c r="G63" s="11">
        <v>82.54</v>
      </c>
      <c r="H63" s="11">
        <v>0.2</v>
      </c>
      <c r="I63" s="11">
        <v>0.2423</v>
      </c>
      <c r="J63" s="12">
        <v>48779.08</v>
      </c>
      <c r="K63" s="13">
        <v>402280.57</v>
      </c>
      <c r="L63" t="str">
        <f>'300496.SZ_元数据'!$B$5</f>
        <v>事件库1.csv + 股票日行情CSV</v>
      </c>
      <c r="M63" t="s">
        <v>104</v>
      </c>
      <c r="N63" s="3">
        <f>'300496.SZ_元数据'!$B$4</f>
        <v>45159</v>
      </c>
      <c r="O63">
        <f t="shared" si="0"/>
        <v>62</v>
      </c>
      <c r="P63">
        <f t="shared" si="1"/>
        <v>64</v>
      </c>
      <c r="Q63">
        <f t="shared" si="2"/>
        <v>-2</v>
      </c>
      <c r="R63" t="str">
        <f t="shared" si="3"/>
        <v>事件前100个交易日</v>
      </c>
    </row>
    <row r="64" spans="1:18">
      <c r="A64" t="s">
        <v>33</v>
      </c>
      <c r="B64" s="3">
        <v>45156</v>
      </c>
      <c r="C64" s="11">
        <v>82.83</v>
      </c>
      <c r="D64" s="11">
        <v>83.01</v>
      </c>
      <c r="E64" s="11">
        <v>80.42</v>
      </c>
      <c r="F64" s="11">
        <v>80.42</v>
      </c>
      <c r="G64" s="11">
        <v>82.74</v>
      </c>
      <c r="H64" s="11">
        <v>-2.32</v>
      </c>
      <c r="I64" s="11">
        <v>-2.804</v>
      </c>
      <c r="J64" s="12">
        <v>58783.74</v>
      </c>
      <c r="K64" s="13">
        <v>478159.253</v>
      </c>
      <c r="L64" t="str">
        <f>'300496.SZ_元数据'!$B$5</f>
        <v>事件库1.csv + 股票日行情CSV</v>
      </c>
      <c r="M64" t="s">
        <v>104</v>
      </c>
      <c r="N64" s="3">
        <f>'300496.SZ_元数据'!$B$4</f>
        <v>45159</v>
      </c>
      <c r="O64">
        <f t="shared" si="0"/>
        <v>63</v>
      </c>
      <c r="P64">
        <f t="shared" si="1"/>
        <v>64</v>
      </c>
      <c r="Q64">
        <f t="shared" si="2"/>
        <v>-1</v>
      </c>
      <c r="R64" t="str">
        <f t="shared" si="3"/>
        <v>事件前100个交易日</v>
      </c>
    </row>
    <row r="65" spans="1:19">
      <c r="A65" t="s">
        <v>33</v>
      </c>
      <c r="B65" s="3">
        <v>45159</v>
      </c>
      <c r="C65" s="11">
        <v>80.01</v>
      </c>
      <c r="D65" s="11">
        <v>81.5</v>
      </c>
      <c r="E65" s="11">
        <v>79.85</v>
      </c>
      <c r="F65" s="11">
        <v>80.26</v>
      </c>
      <c r="G65" s="11">
        <v>80.42</v>
      </c>
      <c r="H65" s="11">
        <v>-0.16</v>
      </c>
      <c r="I65" s="11">
        <v>-0.199</v>
      </c>
      <c r="J65" s="12">
        <v>40220.38</v>
      </c>
      <c r="K65" s="13">
        <v>324091.712</v>
      </c>
      <c r="L65" t="str">
        <f>'300496.SZ_元数据'!$B$5</f>
        <v>事件库1.csv + 股票日行情CSV</v>
      </c>
      <c r="M65" t="s">
        <v>104</v>
      </c>
      <c r="N65" s="3">
        <f>'300496.SZ_元数据'!$B$4</f>
        <v>45159</v>
      </c>
      <c r="O65">
        <f t="shared" si="0"/>
        <v>64</v>
      </c>
      <c r="P65">
        <f t="shared" si="1"/>
        <v>64</v>
      </c>
      <c r="Q65">
        <f t="shared" si="2"/>
        <v>0</v>
      </c>
      <c r="R65" t="str">
        <f t="shared" si="3"/>
        <v>事件当日</v>
      </c>
      <c r="S65" t="s">
        <v>135</v>
      </c>
    </row>
    <row r="66" spans="1:19">
      <c r="A66" t="s">
        <v>33</v>
      </c>
      <c r="B66" s="3">
        <v>45160</v>
      </c>
      <c r="C66" s="11">
        <v>81</v>
      </c>
      <c r="D66" s="11">
        <v>81.46</v>
      </c>
      <c r="E66" s="11">
        <v>77.9</v>
      </c>
      <c r="F66" s="11">
        <v>80.78</v>
      </c>
      <c r="G66" s="11">
        <v>80.26</v>
      </c>
      <c r="H66" s="11">
        <v>0.52</v>
      </c>
      <c r="I66" s="11">
        <v>0.6479</v>
      </c>
      <c r="J66" s="12">
        <v>79807.63</v>
      </c>
      <c r="K66" s="13">
        <v>635112.169</v>
      </c>
      <c r="L66" t="str">
        <f>'300496.SZ_元数据'!$B$5</f>
        <v>事件库1.csv + 股票日行情CSV</v>
      </c>
      <c r="M66" t="s">
        <v>104</v>
      </c>
      <c r="N66" s="3">
        <f>'300496.SZ_元数据'!$B$4</f>
        <v>45159</v>
      </c>
      <c r="O66">
        <f>ROW()-1</f>
        <v>65</v>
      </c>
      <c r="P66">
        <f>IFERROR(MATCH($N66,$B$2:$B$69,0),"")</f>
        <v>64</v>
      </c>
      <c r="Q66">
        <f>IF(OR($P66="",$O66=""),"",$O66-$P66)</f>
        <v>1</v>
      </c>
      <c r="R66" t="str">
        <f>IF($Q66="","",IF(AND($Q66&gt;=-100,$Q66&lt;=-1),"事件前100个交易日",IF(AND($Q66&gt;=1,$Q66&lt;=5),"事件后5个交易日",IF($Q66=0,"事件当日","其他区间"))))</f>
        <v>事件后5个交易日</v>
      </c>
    </row>
    <row r="67" spans="1:19">
      <c r="A67" t="s">
        <v>33</v>
      </c>
      <c r="B67" s="3">
        <v>45161</v>
      </c>
      <c r="C67" s="11">
        <v>80.61</v>
      </c>
      <c r="D67" s="11">
        <v>80.61</v>
      </c>
      <c r="E67" s="11">
        <v>77.1</v>
      </c>
      <c r="F67" s="11">
        <v>77.11</v>
      </c>
      <c r="G67" s="11">
        <v>80.78</v>
      </c>
      <c r="H67" s="11">
        <v>-3.67</v>
      </c>
      <c r="I67" s="11">
        <v>-4.5432</v>
      </c>
      <c r="J67" s="12">
        <v>60059.69</v>
      </c>
      <c r="K67" s="13">
        <v>470627.087</v>
      </c>
      <c r="L67" t="str">
        <f>'300496.SZ_元数据'!$B$5</f>
        <v>事件库1.csv + 股票日行情CSV</v>
      </c>
      <c r="M67" t="s">
        <v>104</v>
      </c>
      <c r="N67" s="3">
        <f>'300496.SZ_元数据'!$B$4</f>
        <v>45159</v>
      </c>
      <c r="O67">
        <f>ROW()-1</f>
        <v>66</v>
      </c>
      <c r="P67">
        <f>IFERROR(MATCH($N67,$B$2:$B$69,0),"")</f>
        <v>64</v>
      </c>
      <c r="Q67">
        <f>IF(OR($P67="",$O67=""),"",$O67-$P67)</f>
        <v>2</v>
      </c>
      <c r="R67" t="str">
        <f>IF($Q67="","",IF(AND($Q67&gt;=-100,$Q67&lt;=-1),"事件前100个交易日",IF(AND($Q67&gt;=1,$Q67&lt;=5),"事件后5个交易日",IF($Q67=0,"事件当日","其他区间"))))</f>
        <v>事件后5个交易日</v>
      </c>
    </row>
    <row r="68" spans="1:19">
      <c r="A68" t="s">
        <v>33</v>
      </c>
      <c r="B68" s="3">
        <v>45162</v>
      </c>
      <c r="C68" s="11">
        <v>78</v>
      </c>
      <c r="D68" s="11">
        <v>78.96</v>
      </c>
      <c r="E68" s="11">
        <v>77.42</v>
      </c>
      <c r="F68" s="11">
        <v>77.45</v>
      </c>
      <c r="G68" s="11">
        <v>77.11</v>
      </c>
      <c r="H68" s="11">
        <v>0.34</v>
      </c>
      <c r="I68" s="11">
        <v>0.4409</v>
      </c>
      <c r="J68" s="12">
        <v>51280.17</v>
      </c>
      <c r="K68" s="13">
        <v>400481.756</v>
      </c>
      <c r="L68" t="str">
        <f>'300496.SZ_元数据'!$B$5</f>
        <v>事件库1.csv + 股票日行情CSV</v>
      </c>
      <c r="M68" t="s">
        <v>104</v>
      </c>
      <c r="N68" s="3">
        <f>'300496.SZ_元数据'!$B$4</f>
        <v>45159</v>
      </c>
      <c r="O68">
        <f>ROW()-1</f>
        <v>67</v>
      </c>
      <c r="P68">
        <f>IFERROR(MATCH($N68,$B$2:$B$69,0),"")</f>
        <v>64</v>
      </c>
      <c r="Q68">
        <f>IF(OR($P68="",$O68=""),"",$O68-$P68)</f>
        <v>3</v>
      </c>
      <c r="R68" t="str">
        <f>IF($Q68="","",IF(AND($Q68&gt;=-100,$Q68&lt;=-1),"事件前100个交易日",IF(AND($Q68&gt;=1,$Q68&lt;=5),"事件后5个交易日",IF($Q68=0,"事件当日","其他区间"))))</f>
        <v>事件后5个交易日</v>
      </c>
    </row>
    <row r="69" spans="1:19">
      <c r="A69" t="s">
        <v>33</v>
      </c>
      <c r="B69" s="3">
        <v>45163</v>
      </c>
      <c r="C69" s="11">
        <v>76.9</v>
      </c>
      <c r="D69" s="11">
        <v>76.9</v>
      </c>
      <c r="E69" s="11">
        <v>74.11</v>
      </c>
      <c r="F69" s="11">
        <v>74.72</v>
      </c>
      <c r="G69" s="11">
        <v>77.45</v>
      </c>
      <c r="H69" s="11">
        <v>-2.73</v>
      </c>
      <c r="I69" s="11">
        <v>-3.5249</v>
      </c>
      <c r="J69" s="12">
        <v>66127.75</v>
      </c>
      <c r="K69" s="13">
        <v>498201.801</v>
      </c>
      <c r="L69" t="str">
        <f>'300496.SZ_元数据'!$B$5</f>
        <v>事件库1.csv + 股票日行情CSV</v>
      </c>
      <c r="M69" t="s">
        <v>104</v>
      </c>
      <c r="N69" s="3">
        <f>'300496.SZ_元数据'!$B$4</f>
        <v>45159</v>
      </c>
      <c r="O69">
        <f>ROW()-1</f>
        <v>68</v>
      </c>
      <c r="P69">
        <f>IFERROR(MATCH($N69,$B$2:$B$69,0),"")</f>
        <v>64</v>
      </c>
      <c r="Q69">
        <f>IF(OR($P69="",$O69=""),"",$O69-$P69)</f>
        <v>4</v>
      </c>
      <c r="R69" t="str">
        <f>IF($Q69="","",IF(AND($Q69&gt;=-100,$Q69&lt;=-1),"事件前100个交易日",IF(AND($Q69&gt;=1,$Q69&lt;=5),"事件后5个交易日",IF($Q69=0,"事件当日","其他区间"))))</f>
        <v>事件后5个交易日</v>
      </c>
    </row>
  </sheetData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36</v>
      </c>
    </row>
    <row r="3" spans="1:2">
      <c r="A3" s="5" t="s">
        <v>75</v>
      </c>
      <c r="B3" s="8" t="s">
        <v>37</v>
      </c>
    </row>
    <row r="4" spans="1:2">
      <c r="A4" s="5" t="s">
        <v>2</v>
      </c>
      <c r="B4" s="7">
        <v>45803</v>
      </c>
    </row>
    <row r="5" spans="1:2">
      <c r="A5" s="5" t="s">
        <v>76</v>
      </c>
      <c r="B5" s="8" t="s">
        <v>115</v>
      </c>
    </row>
    <row r="6" spans="1:2">
      <c r="A6" s="5" t="s">
        <v>78</v>
      </c>
      <c r="B6" s="8" t="s">
        <v>116</v>
      </c>
    </row>
    <row r="7" spans="1:2">
      <c r="A7" s="5" t="s">
        <v>84</v>
      </c>
      <c r="B7" t="s">
        <v>117</v>
      </c>
    </row>
    <row r="8" spans="1:2">
      <c r="A8" s="5" t="s">
        <v>118</v>
      </c>
      <c r="B8" s="3">
        <v>45803</v>
      </c>
    </row>
    <row r="9" spans="1:2">
      <c r="A9" s="5" t="s">
        <v>1</v>
      </c>
      <c r="B9">
        <v>29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26</v>
      </c>
    </row>
    <row r="12" ht="43.5" customHeight="1" spans="1:2">
      <c r="A12" s="5" t="s">
        <v>80</v>
      </c>
      <c r="B12" s="14" t="s">
        <v>136</v>
      </c>
    </row>
    <row r="13" spans="1:2">
      <c r="A13" s="5" t="s">
        <v>120</v>
      </c>
      <c r="B13" t="s">
        <v>121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36</v>
      </c>
      <c r="B2" s="3">
        <v>45714</v>
      </c>
      <c r="C2" s="11">
        <v>36.68</v>
      </c>
      <c r="D2" s="11">
        <v>37.4</v>
      </c>
      <c r="E2" s="11">
        <v>35.76</v>
      </c>
      <c r="F2" s="11">
        <v>36.92</v>
      </c>
      <c r="G2" s="11">
        <v>36.68</v>
      </c>
      <c r="H2" s="11">
        <v>0.24</v>
      </c>
      <c r="I2" s="11">
        <v>0.6543</v>
      </c>
      <c r="J2" s="12">
        <v>143702.71</v>
      </c>
      <c r="K2" s="13">
        <v>526603.308</v>
      </c>
      <c r="L2" t="str">
        <f>'300571.SZ_元数据'!$B$5</f>
        <v>事件库1.csv + 股票日行情CSV</v>
      </c>
      <c r="M2" t="s">
        <v>104</v>
      </c>
      <c r="N2" s="3">
        <f>'300571.SZ_元数据'!$B$4</f>
        <v>45803</v>
      </c>
      <c r="O2">
        <f t="shared" ref="O2:O65" si="0">ROW()-1</f>
        <v>1</v>
      </c>
      <c r="P2">
        <f t="shared" ref="P2:P65" si="1">IFERROR(MATCH($N2,$B$2:$B$65,0),"")</f>
        <v>60</v>
      </c>
      <c r="Q2">
        <f t="shared" ref="Q2:Q65" si="2">IF(OR($P2="",$O2=""),"",$O2-$P2)</f>
        <v>-59</v>
      </c>
      <c r="R2" t="str">
        <f t="shared" ref="R2:R65" si="3">IF($Q2="","",IF(AND($Q2&gt;=-100,$Q2&lt;=-1),"事件前100个交易日",IF(AND($Q2&gt;=1,$Q2&lt;=5),"事件后5个交易日",IF($Q2=0,"事件当日","其他区间"))))</f>
        <v>事件前100个交易日</v>
      </c>
    </row>
    <row r="3" spans="1:19">
      <c r="A3" t="s">
        <v>36</v>
      </c>
      <c r="B3" s="3">
        <v>45715</v>
      </c>
      <c r="C3" s="11">
        <v>36.6</v>
      </c>
      <c r="D3" s="11">
        <v>39.12</v>
      </c>
      <c r="E3" s="11">
        <v>34.8</v>
      </c>
      <c r="F3" s="11">
        <v>38.19</v>
      </c>
      <c r="G3" s="11">
        <v>36.92</v>
      </c>
      <c r="H3" s="11">
        <v>1.27</v>
      </c>
      <c r="I3" s="11">
        <v>3.4399</v>
      </c>
      <c r="J3" s="12">
        <v>227485.96</v>
      </c>
      <c r="K3" s="13">
        <v>839919.053</v>
      </c>
      <c r="L3" t="str">
        <f>'300571.SZ_元数据'!$B$5</f>
        <v>事件库1.csv + 股票日行情CSV</v>
      </c>
      <c r="M3" t="s">
        <v>104</v>
      </c>
      <c r="N3" s="3">
        <f>'300571.SZ_元数据'!$B$4</f>
        <v>45803</v>
      </c>
      <c r="O3">
        <f t="shared" si="0"/>
        <v>2</v>
      </c>
      <c r="P3">
        <f t="shared" si="1"/>
        <v>60</v>
      </c>
      <c r="Q3">
        <f t="shared" si="2"/>
        <v>-58</v>
      </c>
      <c r="R3" t="str">
        <f t="shared" si="3"/>
        <v>事件前100个交易日</v>
      </c>
    </row>
    <row r="4" spans="1:19">
      <c r="A4" t="s">
        <v>36</v>
      </c>
      <c r="B4" s="3">
        <v>45716</v>
      </c>
      <c r="C4" s="11">
        <v>37.69</v>
      </c>
      <c r="D4" s="11">
        <v>37.69</v>
      </c>
      <c r="E4" s="11">
        <v>33.33</v>
      </c>
      <c r="F4" s="11">
        <v>33.6</v>
      </c>
      <c r="G4" s="11">
        <v>38.19</v>
      </c>
      <c r="H4" s="11">
        <v>-4.59</v>
      </c>
      <c r="I4" s="11">
        <v>-12.0189</v>
      </c>
      <c r="J4" s="12">
        <v>155922.5</v>
      </c>
      <c r="K4" s="13">
        <v>549045.277</v>
      </c>
      <c r="L4" t="str">
        <f>'300571.SZ_元数据'!$B$5</f>
        <v>事件库1.csv + 股票日行情CSV</v>
      </c>
      <c r="M4" t="s">
        <v>104</v>
      </c>
      <c r="N4" s="3">
        <f>'300571.SZ_元数据'!$B$4</f>
        <v>45803</v>
      </c>
      <c r="O4">
        <f t="shared" si="0"/>
        <v>3</v>
      </c>
      <c r="P4">
        <f t="shared" si="1"/>
        <v>60</v>
      </c>
      <c r="Q4">
        <f t="shared" si="2"/>
        <v>-57</v>
      </c>
      <c r="R4" t="str">
        <f t="shared" si="3"/>
        <v>事件前100个交易日</v>
      </c>
    </row>
    <row r="5" spans="1:19">
      <c r="A5" t="s">
        <v>36</v>
      </c>
      <c r="B5" s="3">
        <v>45719</v>
      </c>
      <c r="C5" s="11">
        <v>33.85</v>
      </c>
      <c r="D5" s="11">
        <v>34.06</v>
      </c>
      <c r="E5" s="11">
        <v>32</v>
      </c>
      <c r="F5" s="11">
        <v>32.6</v>
      </c>
      <c r="G5" s="11">
        <v>33.6</v>
      </c>
      <c r="H5" s="11">
        <v>-1</v>
      </c>
      <c r="I5" s="11">
        <v>-2.9762</v>
      </c>
      <c r="J5" s="12">
        <v>99991.08</v>
      </c>
      <c r="K5" s="13">
        <v>329220.362</v>
      </c>
      <c r="L5" t="str">
        <f>'300571.SZ_元数据'!$B$5</f>
        <v>事件库1.csv + 股票日行情CSV</v>
      </c>
      <c r="M5" t="s">
        <v>104</v>
      </c>
      <c r="N5" s="3">
        <f>'300571.SZ_元数据'!$B$4</f>
        <v>45803</v>
      </c>
      <c r="O5">
        <f t="shared" si="0"/>
        <v>4</v>
      </c>
      <c r="P5">
        <f t="shared" si="1"/>
        <v>60</v>
      </c>
      <c r="Q5">
        <f t="shared" si="2"/>
        <v>-56</v>
      </c>
      <c r="R5" t="str">
        <f t="shared" si="3"/>
        <v>事件前100个交易日</v>
      </c>
    </row>
    <row r="6" spans="1:19">
      <c r="A6" t="s">
        <v>36</v>
      </c>
      <c r="B6" s="3">
        <v>45720</v>
      </c>
      <c r="C6" s="11">
        <v>32.18</v>
      </c>
      <c r="D6" s="11">
        <v>34.36</v>
      </c>
      <c r="E6" s="11">
        <v>31.81</v>
      </c>
      <c r="F6" s="11">
        <v>33.83</v>
      </c>
      <c r="G6" s="11">
        <v>32.6</v>
      </c>
      <c r="H6" s="11">
        <v>1.23</v>
      </c>
      <c r="I6" s="11">
        <v>3.773</v>
      </c>
      <c r="J6" s="12">
        <v>103739.59</v>
      </c>
      <c r="K6" s="13">
        <v>346002.413</v>
      </c>
      <c r="L6" t="str">
        <f>'300571.SZ_元数据'!$B$5</f>
        <v>事件库1.csv + 股票日行情CSV</v>
      </c>
      <c r="M6" t="s">
        <v>104</v>
      </c>
      <c r="N6" s="3">
        <f>'300571.SZ_元数据'!$B$4</f>
        <v>45803</v>
      </c>
      <c r="O6">
        <f t="shared" si="0"/>
        <v>5</v>
      </c>
      <c r="P6">
        <f t="shared" si="1"/>
        <v>60</v>
      </c>
      <c r="Q6">
        <f t="shared" si="2"/>
        <v>-55</v>
      </c>
      <c r="R6" t="str">
        <f t="shared" si="3"/>
        <v>事件前100个交易日</v>
      </c>
    </row>
    <row r="7" spans="1:19">
      <c r="A7" t="s">
        <v>36</v>
      </c>
      <c r="B7" s="3">
        <v>45721</v>
      </c>
      <c r="C7" s="11">
        <v>35.08</v>
      </c>
      <c r="D7" s="11">
        <v>36.24</v>
      </c>
      <c r="E7" s="11">
        <v>34.65</v>
      </c>
      <c r="F7" s="11">
        <v>35.65</v>
      </c>
      <c r="G7" s="11">
        <v>33.83</v>
      </c>
      <c r="H7" s="11">
        <v>1.82</v>
      </c>
      <c r="I7" s="11">
        <v>5.3798</v>
      </c>
      <c r="J7" s="12">
        <v>142717.12</v>
      </c>
      <c r="K7" s="13">
        <v>505908.589</v>
      </c>
      <c r="L7" t="str">
        <f>'300571.SZ_元数据'!$B$5</f>
        <v>事件库1.csv + 股票日行情CSV</v>
      </c>
      <c r="M7" t="s">
        <v>104</v>
      </c>
      <c r="N7" s="3">
        <f>'300571.SZ_元数据'!$B$4</f>
        <v>45803</v>
      </c>
      <c r="O7">
        <f t="shared" si="0"/>
        <v>6</v>
      </c>
      <c r="P7">
        <f t="shared" si="1"/>
        <v>60</v>
      </c>
      <c r="Q7">
        <f t="shared" si="2"/>
        <v>-54</v>
      </c>
      <c r="R7" t="str">
        <f t="shared" si="3"/>
        <v>事件前100个交易日</v>
      </c>
    </row>
    <row r="8" spans="1:19">
      <c r="A8" t="s">
        <v>36</v>
      </c>
      <c r="B8" s="3">
        <v>45722</v>
      </c>
      <c r="C8" s="11">
        <v>36.38</v>
      </c>
      <c r="D8" s="11">
        <v>38.2</v>
      </c>
      <c r="E8" s="11">
        <v>36.38</v>
      </c>
      <c r="F8" s="11">
        <v>37.91</v>
      </c>
      <c r="G8" s="11">
        <v>35.65</v>
      </c>
      <c r="H8" s="11">
        <v>2.26</v>
      </c>
      <c r="I8" s="11">
        <v>6.3394</v>
      </c>
      <c r="J8" s="12">
        <v>198111.04</v>
      </c>
      <c r="K8" s="13">
        <v>738385.413</v>
      </c>
      <c r="L8" t="str">
        <f>'300571.SZ_元数据'!$B$5</f>
        <v>事件库1.csv + 股票日行情CSV</v>
      </c>
      <c r="M8" t="s">
        <v>104</v>
      </c>
      <c r="N8" s="3">
        <f>'300571.SZ_元数据'!$B$4</f>
        <v>45803</v>
      </c>
      <c r="O8">
        <f t="shared" si="0"/>
        <v>7</v>
      </c>
      <c r="P8">
        <f t="shared" si="1"/>
        <v>60</v>
      </c>
      <c r="Q8">
        <f t="shared" si="2"/>
        <v>-53</v>
      </c>
      <c r="R8" t="str">
        <f t="shared" si="3"/>
        <v>事件前100个交易日</v>
      </c>
    </row>
    <row r="9" spans="1:19">
      <c r="A9" t="s">
        <v>36</v>
      </c>
      <c r="B9" s="3">
        <v>45723</v>
      </c>
      <c r="C9" s="11">
        <v>36.66</v>
      </c>
      <c r="D9" s="11">
        <v>38.14</v>
      </c>
      <c r="E9" s="11">
        <v>35.88</v>
      </c>
      <c r="F9" s="11">
        <v>36.29</v>
      </c>
      <c r="G9" s="11">
        <v>37.91</v>
      </c>
      <c r="H9" s="11">
        <v>-1.62</v>
      </c>
      <c r="I9" s="11">
        <v>-4.2733</v>
      </c>
      <c r="J9" s="12">
        <v>150273.04</v>
      </c>
      <c r="K9" s="13">
        <v>555676.98</v>
      </c>
      <c r="L9" t="str">
        <f>'300571.SZ_元数据'!$B$5</f>
        <v>事件库1.csv + 股票日行情CSV</v>
      </c>
      <c r="M9" t="s">
        <v>104</v>
      </c>
      <c r="N9" s="3">
        <f>'300571.SZ_元数据'!$B$4</f>
        <v>45803</v>
      </c>
      <c r="O9">
        <f t="shared" si="0"/>
        <v>8</v>
      </c>
      <c r="P9">
        <f t="shared" si="1"/>
        <v>60</v>
      </c>
      <c r="Q9">
        <f t="shared" si="2"/>
        <v>-52</v>
      </c>
      <c r="R9" t="str">
        <f t="shared" si="3"/>
        <v>事件前100个交易日</v>
      </c>
    </row>
    <row r="10" spans="1:19">
      <c r="A10" t="s">
        <v>36</v>
      </c>
      <c r="B10" s="3">
        <v>45726</v>
      </c>
      <c r="C10" s="11">
        <v>35.71</v>
      </c>
      <c r="D10" s="11">
        <v>36</v>
      </c>
      <c r="E10" s="11">
        <v>34.81</v>
      </c>
      <c r="F10" s="11">
        <v>35.66</v>
      </c>
      <c r="G10" s="11">
        <v>36.29</v>
      </c>
      <c r="H10" s="11">
        <v>-0.63</v>
      </c>
      <c r="I10" s="11">
        <v>-1.736</v>
      </c>
      <c r="J10" s="12">
        <v>84833</v>
      </c>
      <c r="K10" s="13">
        <v>299930.753</v>
      </c>
      <c r="L10" t="str">
        <f>'300571.SZ_元数据'!$B$5</f>
        <v>事件库1.csv + 股票日行情CSV</v>
      </c>
      <c r="M10" t="s">
        <v>104</v>
      </c>
      <c r="N10" s="3">
        <f>'300571.SZ_元数据'!$B$4</f>
        <v>45803</v>
      </c>
      <c r="O10">
        <f t="shared" si="0"/>
        <v>9</v>
      </c>
      <c r="P10">
        <f t="shared" si="1"/>
        <v>60</v>
      </c>
      <c r="Q10">
        <f t="shared" si="2"/>
        <v>-51</v>
      </c>
      <c r="R10" t="str">
        <f t="shared" si="3"/>
        <v>事件前100个交易日</v>
      </c>
    </row>
    <row r="11" spans="1:19">
      <c r="A11" t="s">
        <v>36</v>
      </c>
      <c r="B11" s="3">
        <v>45727</v>
      </c>
      <c r="C11" s="11">
        <v>34.63</v>
      </c>
      <c r="D11" s="11">
        <v>35.6</v>
      </c>
      <c r="E11" s="11">
        <v>34.42</v>
      </c>
      <c r="F11" s="11">
        <v>35.24</v>
      </c>
      <c r="G11" s="11">
        <v>35.66</v>
      </c>
      <c r="H11" s="11">
        <v>-0.42</v>
      </c>
      <c r="I11" s="11">
        <v>-1.1778</v>
      </c>
      <c r="J11" s="12">
        <v>65993.28</v>
      </c>
      <c r="K11" s="13">
        <v>230738.898</v>
      </c>
      <c r="L11" t="str">
        <f>'300571.SZ_元数据'!$B$5</f>
        <v>事件库1.csv + 股票日行情CSV</v>
      </c>
      <c r="M11" t="s">
        <v>104</v>
      </c>
      <c r="N11" s="3">
        <f>'300571.SZ_元数据'!$B$4</f>
        <v>45803</v>
      </c>
      <c r="O11">
        <f t="shared" si="0"/>
        <v>10</v>
      </c>
      <c r="P11">
        <f t="shared" si="1"/>
        <v>60</v>
      </c>
      <c r="Q11">
        <f t="shared" si="2"/>
        <v>-50</v>
      </c>
      <c r="R11" t="str">
        <f t="shared" si="3"/>
        <v>事件前100个交易日</v>
      </c>
    </row>
    <row r="12" spans="1:19">
      <c r="A12" t="s">
        <v>36</v>
      </c>
      <c r="B12" s="3">
        <v>45728</v>
      </c>
      <c r="C12" s="11">
        <v>36</v>
      </c>
      <c r="D12" s="11">
        <v>38.98</v>
      </c>
      <c r="E12" s="11">
        <v>36</v>
      </c>
      <c r="F12" s="11">
        <v>37.77</v>
      </c>
      <c r="G12" s="11">
        <v>35.24</v>
      </c>
      <c r="H12" s="11">
        <v>2.53</v>
      </c>
      <c r="I12" s="11">
        <v>7.1793</v>
      </c>
      <c r="J12" s="12">
        <v>198552.6</v>
      </c>
      <c r="K12" s="13">
        <v>741708.99</v>
      </c>
      <c r="L12" t="str">
        <f>'300571.SZ_元数据'!$B$5</f>
        <v>事件库1.csv + 股票日行情CSV</v>
      </c>
      <c r="M12" t="s">
        <v>104</v>
      </c>
      <c r="N12" s="3">
        <f>'300571.SZ_元数据'!$B$4</f>
        <v>45803</v>
      </c>
      <c r="O12">
        <f t="shared" si="0"/>
        <v>11</v>
      </c>
      <c r="P12">
        <f t="shared" si="1"/>
        <v>60</v>
      </c>
      <c r="Q12">
        <f t="shared" si="2"/>
        <v>-49</v>
      </c>
      <c r="R12" t="str">
        <f t="shared" si="3"/>
        <v>事件前100个交易日</v>
      </c>
    </row>
    <row r="13" spans="1:19">
      <c r="A13" t="s">
        <v>36</v>
      </c>
      <c r="B13" s="3">
        <v>45729</v>
      </c>
      <c r="C13" s="11">
        <v>37.17</v>
      </c>
      <c r="D13" s="11">
        <v>37.76</v>
      </c>
      <c r="E13" s="11">
        <v>35.1</v>
      </c>
      <c r="F13" s="11">
        <v>36.08</v>
      </c>
      <c r="G13" s="11">
        <v>37.77</v>
      </c>
      <c r="H13" s="11">
        <v>-1.69</v>
      </c>
      <c r="I13" s="11">
        <v>-4.4745</v>
      </c>
      <c r="J13" s="12">
        <v>137214.67</v>
      </c>
      <c r="K13" s="13">
        <v>495057.622</v>
      </c>
      <c r="L13" t="str">
        <f>'300571.SZ_元数据'!$B$5</f>
        <v>事件库1.csv + 股票日行情CSV</v>
      </c>
      <c r="M13" t="s">
        <v>104</v>
      </c>
      <c r="N13" s="3">
        <f>'300571.SZ_元数据'!$B$4</f>
        <v>45803</v>
      </c>
      <c r="O13">
        <f t="shared" si="0"/>
        <v>12</v>
      </c>
      <c r="P13">
        <f t="shared" si="1"/>
        <v>60</v>
      </c>
      <c r="Q13">
        <f t="shared" si="2"/>
        <v>-48</v>
      </c>
      <c r="R13" t="str">
        <f t="shared" si="3"/>
        <v>事件前100个交易日</v>
      </c>
    </row>
    <row r="14" spans="1:19">
      <c r="A14" t="s">
        <v>36</v>
      </c>
      <c r="B14" s="3">
        <v>45730</v>
      </c>
      <c r="C14" s="11">
        <v>35.89</v>
      </c>
      <c r="D14" s="11">
        <v>36.49</v>
      </c>
      <c r="E14" s="11">
        <v>35.21</v>
      </c>
      <c r="F14" s="11">
        <v>36.02</v>
      </c>
      <c r="G14" s="11">
        <v>36.08</v>
      </c>
      <c r="H14" s="11">
        <v>-0.06</v>
      </c>
      <c r="I14" s="11">
        <v>-0.1663</v>
      </c>
      <c r="J14" s="12">
        <v>94887</v>
      </c>
      <c r="K14" s="13">
        <v>340775.978</v>
      </c>
      <c r="L14" t="str">
        <f>'300571.SZ_元数据'!$B$5</f>
        <v>事件库1.csv + 股票日行情CSV</v>
      </c>
      <c r="M14" t="s">
        <v>104</v>
      </c>
      <c r="N14" s="3">
        <f>'300571.SZ_元数据'!$B$4</f>
        <v>45803</v>
      </c>
      <c r="O14">
        <f t="shared" si="0"/>
        <v>13</v>
      </c>
      <c r="P14">
        <f t="shared" si="1"/>
        <v>60</v>
      </c>
      <c r="Q14">
        <f t="shared" si="2"/>
        <v>-47</v>
      </c>
      <c r="R14" t="str">
        <f t="shared" si="3"/>
        <v>事件前100个交易日</v>
      </c>
    </row>
    <row r="15" spans="1:19">
      <c r="A15" t="s">
        <v>36</v>
      </c>
      <c r="B15" s="3">
        <v>45733</v>
      </c>
      <c r="C15" s="11">
        <v>35.83</v>
      </c>
      <c r="D15" s="11">
        <v>36.73</v>
      </c>
      <c r="E15" s="11">
        <v>34.63</v>
      </c>
      <c r="F15" s="11">
        <v>36.17</v>
      </c>
      <c r="G15" s="11">
        <v>36.02</v>
      </c>
      <c r="H15" s="11">
        <v>0.15</v>
      </c>
      <c r="I15" s="11">
        <v>0.4164</v>
      </c>
      <c r="J15" s="12">
        <v>94210</v>
      </c>
      <c r="K15" s="13">
        <v>335923.639</v>
      </c>
      <c r="L15" t="str">
        <f>'300571.SZ_元数据'!$B$5</f>
        <v>事件库1.csv + 股票日行情CSV</v>
      </c>
      <c r="M15" t="s">
        <v>104</v>
      </c>
      <c r="N15" s="3">
        <f>'300571.SZ_元数据'!$B$4</f>
        <v>45803</v>
      </c>
      <c r="O15">
        <f t="shared" si="0"/>
        <v>14</v>
      </c>
      <c r="P15">
        <f t="shared" si="1"/>
        <v>60</v>
      </c>
      <c r="Q15">
        <f t="shared" si="2"/>
        <v>-46</v>
      </c>
      <c r="R15" t="str">
        <f t="shared" si="3"/>
        <v>事件前100个交易日</v>
      </c>
    </row>
    <row r="16" spans="1:19">
      <c r="A16" t="s">
        <v>36</v>
      </c>
      <c r="B16" s="3">
        <v>45734</v>
      </c>
      <c r="C16" s="11">
        <v>37.03</v>
      </c>
      <c r="D16" s="11">
        <v>37.51</v>
      </c>
      <c r="E16" s="11">
        <v>35.8</v>
      </c>
      <c r="F16" s="11">
        <v>36.9</v>
      </c>
      <c r="G16" s="11">
        <v>36.17</v>
      </c>
      <c r="H16" s="11">
        <v>0.73</v>
      </c>
      <c r="I16" s="11">
        <v>2.0182</v>
      </c>
      <c r="J16" s="12">
        <v>113740.5</v>
      </c>
      <c r="K16" s="13">
        <v>417813.379</v>
      </c>
      <c r="L16" t="str">
        <f>'300571.SZ_元数据'!$B$5</f>
        <v>事件库1.csv + 股票日行情CSV</v>
      </c>
      <c r="M16" t="s">
        <v>104</v>
      </c>
      <c r="N16" s="3">
        <f>'300571.SZ_元数据'!$B$4</f>
        <v>45803</v>
      </c>
      <c r="O16">
        <f t="shared" si="0"/>
        <v>15</v>
      </c>
      <c r="P16">
        <f t="shared" si="1"/>
        <v>60</v>
      </c>
      <c r="Q16">
        <f t="shared" si="2"/>
        <v>-45</v>
      </c>
      <c r="R16" t="str">
        <f t="shared" si="3"/>
        <v>事件前100个交易日</v>
      </c>
    </row>
    <row r="17" spans="1:18">
      <c r="A17" t="s">
        <v>36</v>
      </c>
      <c r="B17" s="3">
        <v>45735</v>
      </c>
      <c r="C17" s="11">
        <v>36.18</v>
      </c>
      <c r="D17" s="11">
        <v>36.68</v>
      </c>
      <c r="E17" s="11">
        <v>34.91</v>
      </c>
      <c r="F17" s="11">
        <v>35.35</v>
      </c>
      <c r="G17" s="11">
        <v>36.9</v>
      </c>
      <c r="H17" s="11">
        <v>-1.55</v>
      </c>
      <c r="I17" s="11">
        <v>-4.2005</v>
      </c>
      <c r="J17" s="12">
        <v>98509.5</v>
      </c>
      <c r="K17" s="13">
        <v>349231.988</v>
      </c>
      <c r="L17" t="str">
        <f>'300571.SZ_元数据'!$B$5</f>
        <v>事件库1.csv + 股票日行情CSV</v>
      </c>
      <c r="M17" t="s">
        <v>104</v>
      </c>
      <c r="N17" s="3">
        <f>'300571.SZ_元数据'!$B$4</f>
        <v>45803</v>
      </c>
      <c r="O17">
        <f t="shared" si="0"/>
        <v>16</v>
      </c>
      <c r="P17">
        <f t="shared" si="1"/>
        <v>60</v>
      </c>
      <c r="Q17">
        <f t="shared" si="2"/>
        <v>-44</v>
      </c>
      <c r="R17" t="str">
        <f t="shared" si="3"/>
        <v>事件前100个交易日</v>
      </c>
    </row>
    <row r="18" spans="1:18">
      <c r="A18" t="s">
        <v>36</v>
      </c>
      <c r="B18" s="3">
        <v>45736</v>
      </c>
      <c r="C18" s="11">
        <v>35.57</v>
      </c>
      <c r="D18" s="11">
        <v>37.55</v>
      </c>
      <c r="E18" s="11">
        <v>34.71</v>
      </c>
      <c r="F18" s="11">
        <v>35.4</v>
      </c>
      <c r="G18" s="11">
        <v>35.35</v>
      </c>
      <c r="H18" s="11">
        <v>0.05</v>
      </c>
      <c r="I18" s="11">
        <v>0.1414</v>
      </c>
      <c r="J18" s="12">
        <v>137613.5</v>
      </c>
      <c r="K18" s="13">
        <v>498014.654</v>
      </c>
      <c r="L18" t="str">
        <f>'300571.SZ_元数据'!$B$5</f>
        <v>事件库1.csv + 股票日行情CSV</v>
      </c>
      <c r="M18" t="s">
        <v>104</v>
      </c>
      <c r="N18" s="3">
        <f>'300571.SZ_元数据'!$B$4</f>
        <v>45803</v>
      </c>
      <c r="O18">
        <f t="shared" si="0"/>
        <v>17</v>
      </c>
      <c r="P18">
        <f t="shared" si="1"/>
        <v>60</v>
      </c>
      <c r="Q18">
        <f t="shared" si="2"/>
        <v>-43</v>
      </c>
      <c r="R18" t="str">
        <f t="shared" si="3"/>
        <v>事件前100个交易日</v>
      </c>
    </row>
    <row r="19" spans="1:18">
      <c r="A19" t="s">
        <v>36</v>
      </c>
      <c r="B19" s="3">
        <v>45737</v>
      </c>
      <c r="C19" s="11">
        <v>34.88</v>
      </c>
      <c r="D19" s="11">
        <v>35.27</v>
      </c>
      <c r="E19" s="11">
        <v>33.7</v>
      </c>
      <c r="F19" s="11">
        <v>33.84</v>
      </c>
      <c r="G19" s="11">
        <v>35.4</v>
      </c>
      <c r="H19" s="11">
        <v>-1.56</v>
      </c>
      <c r="I19" s="11">
        <v>-4.4068</v>
      </c>
      <c r="J19" s="12">
        <v>91871.5</v>
      </c>
      <c r="K19" s="13">
        <v>313478.1</v>
      </c>
      <c r="L19" t="str">
        <f>'300571.SZ_元数据'!$B$5</f>
        <v>事件库1.csv + 股票日行情CSV</v>
      </c>
      <c r="M19" t="s">
        <v>104</v>
      </c>
      <c r="N19" s="3">
        <f>'300571.SZ_元数据'!$B$4</f>
        <v>45803</v>
      </c>
      <c r="O19">
        <f t="shared" si="0"/>
        <v>18</v>
      </c>
      <c r="P19">
        <f t="shared" si="1"/>
        <v>60</v>
      </c>
      <c r="Q19">
        <f t="shared" si="2"/>
        <v>-42</v>
      </c>
      <c r="R19" t="str">
        <f t="shared" si="3"/>
        <v>事件前100个交易日</v>
      </c>
    </row>
    <row r="20" spans="1:18">
      <c r="A20" t="s">
        <v>36</v>
      </c>
      <c r="B20" s="3">
        <v>45740</v>
      </c>
      <c r="C20" s="11">
        <v>33.4</v>
      </c>
      <c r="D20" s="11">
        <v>33.81</v>
      </c>
      <c r="E20" s="11">
        <v>31.92</v>
      </c>
      <c r="F20" s="11">
        <v>32.8</v>
      </c>
      <c r="G20" s="11">
        <v>33.84</v>
      </c>
      <c r="H20" s="11">
        <v>-1.04</v>
      </c>
      <c r="I20" s="11">
        <v>-3.0733</v>
      </c>
      <c r="J20" s="12">
        <v>74733.25</v>
      </c>
      <c r="K20" s="13">
        <v>244753.78</v>
      </c>
      <c r="L20" t="str">
        <f>'300571.SZ_元数据'!$B$5</f>
        <v>事件库1.csv + 股票日行情CSV</v>
      </c>
      <c r="M20" t="s">
        <v>104</v>
      </c>
      <c r="N20" s="3">
        <f>'300571.SZ_元数据'!$B$4</f>
        <v>45803</v>
      </c>
      <c r="O20">
        <f t="shared" si="0"/>
        <v>19</v>
      </c>
      <c r="P20">
        <f t="shared" si="1"/>
        <v>60</v>
      </c>
      <c r="Q20">
        <f t="shared" si="2"/>
        <v>-41</v>
      </c>
      <c r="R20" t="str">
        <f t="shared" si="3"/>
        <v>事件前100个交易日</v>
      </c>
    </row>
    <row r="21" spans="1:18">
      <c r="A21" t="s">
        <v>36</v>
      </c>
      <c r="B21" s="3">
        <v>45741</v>
      </c>
      <c r="C21" s="11">
        <v>32.56</v>
      </c>
      <c r="D21" s="11">
        <v>32.72</v>
      </c>
      <c r="E21" s="11">
        <v>30.74</v>
      </c>
      <c r="F21" s="11">
        <v>30.8</v>
      </c>
      <c r="G21" s="11">
        <v>32.8</v>
      </c>
      <c r="H21" s="11">
        <v>-2</v>
      </c>
      <c r="I21" s="11">
        <v>-6.0976</v>
      </c>
      <c r="J21" s="12">
        <v>77964</v>
      </c>
      <c r="K21" s="13">
        <v>245058.818</v>
      </c>
      <c r="L21" t="str">
        <f>'300571.SZ_元数据'!$B$5</f>
        <v>事件库1.csv + 股票日行情CSV</v>
      </c>
      <c r="M21" t="s">
        <v>104</v>
      </c>
      <c r="N21" s="3">
        <f>'300571.SZ_元数据'!$B$4</f>
        <v>45803</v>
      </c>
      <c r="O21">
        <f t="shared" si="0"/>
        <v>20</v>
      </c>
      <c r="P21">
        <f t="shared" si="1"/>
        <v>60</v>
      </c>
      <c r="Q21">
        <f t="shared" si="2"/>
        <v>-40</v>
      </c>
      <c r="R21" t="str">
        <f t="shared" si="3"/>
        <v>事件前100个交易日</v>
      </c>
    </row>
    <row r="22" spans="1:18">
      <c r="A22" t="s">
        <v>36</v>
      </c>
      <c r="B22" s="3">
        <v>45742</v>
      </c>
      <c r="C22" s="11">
        <v>30.8</v>
      </c>
      <c r="D22" s="11">
        <v>31.39</v>
      </c>
      <c r="E22" s="11">
        <v>30.71</v>
      </c>
      <c r="F22" s="11">
        <v>30.93</v>
      </c>
      <c r="G22" s="11">
        <v>30.8</v>
      </c>
      <c r="H22" s="11">
        <v>0.13</v>
      </c>
      <c r="I22" s="11">
        <v>0.4221</v>
      </c>
      <c r="J22" s="12">
        <v>47074</v>
      </c>
      <c r="K22" s="13">
        <v>146575.735</v>
      </c>
      <c r="L22" t="str">
        <f>'300571.SZ_元数据'!$B$5</f>
        <v>事件库1.csv + 股票日行情CSV</v>
      </c>
      <c r="M22" t="s">
        <v>104</v>
      </c>
      <c r="N22" s="3">
        <f>'300571.SZ_元数据'!$B$4</f>
        <v>45803</v>
      </c>
      <c r="O22">
        <f t="shared" si="0"/>
        <v>21</v>
      </c>
      <c r="P22">
        <f t="shared" si="1"/>
        <v>60</v>
      </c>
      <c r="Q22">
        <f t="shared" si="2"/>
        <v>-39</v>
      </c>
      <c r="R22" t="str">
        <f t="shared" si="3"/>
        <v>事件前100个交易日</v>
      </c>
    </row>
    <row r="23" spans="1:18">
      <c r="A23" t="s">
        <v>36</v>
      </c>
      <c r="B23" s="3">
        <v>45743</v>
      </c>
      <c r="C23" s="11">
        <v>31.05</v>
      </c>
      <c r="D23" s="11">
        <v>31.08</v>
      </c>
      <c r="E23" s="11">
        <v>30.11</v>
      </c>
      <c r="F23" s="11">
        <v>30.15</v>
      </c>
      <c r="G23" s="11">
        <v>30.93</v>
      </c>
      <c r="H23" s="11">
        <v>-0.78</v>
      </c>
      <c r="I23" s="11">
        <v>-2.5218</v>
      </c>
      <c r="J23" s="12">
        <v>46326.74</v>
      </c>
      <c r="K23" s="13">
        <v>141126.555</v>
      </c>
      <c r="L23" t="str">
        <f>'300571.SZ_元数据'!$B$5</f>
        <v>事件库1.csv + 股票日行情CSV</v>
      </c>
      <c r="M23" t="s">
        <v>104</v>
      </c>
      <c r="N23" s="3">
        <f>'300571.SZ_元数据'!$B$4</f>
        <v>45803</v>
      </c>
      <c r="O23">
        <f t="shared" si="0"/>
        <v>22</v>
      </c>
      <c r="P23">
        <f t="shared" si="1"/>
        <v>60</v>
      </c>
      <c r="Q23">
        <f t="shared" si="2"/>
        <v>-38</v>
      </c>
      <c r="R23" t="str">
        <f t="shared" si="3"/>
        <v>事件前100个交易日</v>
      </c>
    </row>
    <row r="24" spans="1:18">
      <c r="A24" t="s">
        <v>36</v>
      </c>
      <c r="B24" s="3">
        <v>45744</v>
      </c>
      <c r="C24" s="11">
        <v>30.15</v>
      </c>
      <c r="D24" s="11">
        <v>30.89</v>
      </c>
      <c r="E24" s="11">
        <v>29.95</v>
      </c>
      <c r="F24" s="11">
        <v>30.05</v>
      </c>
      <c r="G24" s="11">
        <v>30.15</v>
      </c>
      <c r="H24" s="11">
        <v>-0.1</v>
      </c>
      <c r="I24" s="11">
        <v>-0.3317</v>
      </c>
      <c r="J24" s="12">
        <v>37928.98</v>
      </c>
      <c r="K24" s="13">
        <v>114839.418</v>
      </c>
      <c r="L24" t="str">
        <f>'300571.SZ_元数据'!$B$5</f>
        <v>事件库1.csv + 股票日行情CSV</v>
      </c>
      <c r="M24" t="s">
        <v>104</v>
      </c>
      <c r="N24" s="3">
        <f>'300571.SZ_元数据'!$B$4</f>
        <v>45803</v>
      </c>
      <c r="O24">
        <f t="shared" si="0"/>
        <v>23</v>
      </c>
      <c r="P24">
        <f t="shared" si="1"/>
        <v>60</v>
      </c>
      <c r="Q24">
        <f t="shared" si="2"/>
        <v>-37</v>
      </c>
      <c r="R24" t="str">
        <f t="shared" si="3"/>
        <v>事件前100个交易日</v>
      </c>
    </row>
    <row r="25" spans="1:18">
      <c r="A25" t="s">
        <v>36</v>
      </c>
      <c r="B25" s="3">
        <v>45747</v>
      </c>
      <c r="C25" s="11">
        <v>29.56</v>
      </c>
      <c r="D25" s="11">
        <v>30.9</v>
      </c>
      <c r="E25" s="11">
        <v>29.22</v>
      </c>
      <c r="F25" s="11">
        <v>30.45</v>
      </c>
      <c r="G25" s="11">
        <v>30.05</v>
      </c>
      <c r="H25" s="11">
        <v>0.4</v>
      </c>
      <c r="I25" s="11">
        <v>1.3311</v>
      </c>
      <c r="J25" s="12">
        <v>58035</v>
      </c>
      <c r="K25" s="13">
        <v>173700.438</v>
      </c>
      <c r="L25" t="str">
        <f>'300571.SZ_元数据'!$B$5</f>
        <v>事件库1.csv + 股票日行情CSV</v>
      </c>
      <c r="M25" t="s">
        <v>104</v>
      </c>
      <c r="N25" s="3">
        <f>'300571.SZ_元数据'!$B$4</f>
        <v>45803</v>
      </c>
      <c r="O25">
        <f t="shared" si="0"/>
        <v>24</v>
      </c>
      <c r="P25">
        <f t="shared" si="1"/>
        <v>60</v>
      </c>
      <c r="Q25">
        <f t="shared" si="2"/>
        <v>-36</v>
      </c>
      <c r="R25" t="str">
        <f t="shared" si="3"/>
        <v>事件前100个交易日</v>
      </c>
    </row>
    <row r="26" spans="1:18">
      <c r="A26" t="s">
        <v>36</v>
      </c>
      <c r="B26" s="3">
        <v>45748</v>
      </c>
      <c r="C26" s="11">
        <v>30.69</v>
      </c>
      <c r="D26" s="11">
        <v>30.99</v>
      </c>
      <c r="E26" s="11">
        <v>29.81</v>
      </c>
      <c r="F26" s="11">
        <v>29.86</v>
      </c>
      <c r="G26" s="11">
        <v>30.45</v>
      </c>
      <c r="H26" s="11">
        <v>-0.59</v>
      </c>
      <c r="I26" s="11">
        <v>-1.9376</v>
      </c>
      <c r="J26" s="12">
        <v>38350</v>
      </c>
      <c r="K26" s="13">
        <v>115937.205</v>
      </c>
      <c r="L26" t="str">
        <f>'300571.SZ_元数据'!$B$5</f>
        <v>事件库1.csv + 股票日行情CSV</v>
      </c>
      <c r="M26" t="s">
        <v>104</v>
      </c>
      <c r="N26" s="3">
        <f>'300571.SZ_元数据'!$B$4</f>
        <v>45803</v>
      </c>
      <c r="O26">
        <f t="shared" si="0"/>
        <v>25</v>
      </c>
      <c r="P26">
        <f t="shared" si="1"/>
        <v>60</v>
      </c>
      <c r="Q26">
        <f t="shared" si="2"/>
        <v>-35</v>
      </c>
      <c r="R26" t="str">
        <f t="shared" si="3"/>
        <v>事件前100个交易日</v>
      </c>
    </row>
    <row r="27" spans="1:18">
      <c r="A27" t="s">
        <v>36</v>
      </c>
      <c r="B27" s="3">
        <v>45749</v>
      </c>
      <c r="C27" s="11">
        <v>29.87</v>
      </c>
      <c r="D27" s="11">
        <v>30.98</v>
      </c>
      <c r="E27" s="11">
        <v>29.77</v>
      </c>
      <c r="F27" s="11">
        <v>30.14</v>
      </c>
      <c r="G27" s="11">
        <v>29.86</v>
      </c>
      <c r="H27" s="11">
        <v>0.28</v>
      </c>
      <c r="I27" s="11">
        <v>0.9377</v>
      </c>
      <c r="J27" s="12">
        <v>39027</v>
      </c>
      <c r="K27" s="13">
        <v>118903.828</v>
      </c>
      <c r="L27" t="str">
        <f>'300571.SZ_元数据'!$B$5</f>
        <v>事件库1.csv + 股票日行情CSV</v>
      </c>
      <c r="M27" t="s">
        <v>104</v>
      </c>
      <c r="N27" s="3">
        <f>'300571.SZ_元数据'!$B$4</f>
        <v>45803</v>
      </c>
      <c r="O27">
        <f t="shared" si="0"/>
        <v>26</v>
      </c>
      <c r="P27">
        <f t="shared" si="1"/>
        <v>60</v>
      </c>
      <c r="Q27">
        <f t="shared" si="2"/>
        <v>-34</v>
      </c>
      <c r="R27" t="str">
        <f t="shared" si="3"/>
        <v>事件前100个交易日</v>
      </c>
    </row>
    <row r="28" spans="1:18">
      <c r="A28" t="s">
        <v>36</v>
      </c>
      <c r="B28" s="3">
        <v>45750</v>
      </c>
      <c r="C28" s="11">
        <v>29.8</v>
      </c>
      <c r="D28" s="11">
        <v>30.35</v>
      </c>
      <c r="E28" s="11">
        <v>29.4</v>
      </c>
      <c r="F28" s="11">
        <v>29.68</v>
      </c>
      <c r="G28" s="11">
        <v>30.14</v>
      </c>
      <c r="H28" s="11">
        <v>-0.46</v>
      </c>
      <c r="I28" s="11">
        <v>-1.5262</v>
      </c>
      <c r="J28" s="12">
        <v>33188</v>
      </c>
      <c r="K28" s="13">
        <v>99072.18</v>
      </c>
      <c r="L28" t="str">
        <f>'300571.SZ_元数据'!$B$5</f>
        <v>事件库1.csv + 股票日行情CSV</v>
      </c>
      <c r="M28" t="s">
        <v>104</v>
      </c>
      <c r="N28" s="3">
        <f>'300571.SZ_元数据'!$B$4</f>
        <v>45803</v>
      </c>
      <c r="O28">
        <f t="shared" si="0"/>
        <v>27</v>
      </c>
      <c r="P28">
        <f t="shared" si="1"/>
        <v>60</v>
      </c>
      <c r="Q28">
        <f t="shared" si="2"/>
        <v>-33</v>
      </c>
      <c r="R28" t="str">
        <f t="shared" si="3"/>
        <v>事件前100个交易日</v>
      </c>
    </row>
    <row r="29" spans="1:18">
      <c r="A29" t="s">
        <v>36</v>
      </c>
      <c r="B29" s="3">
        <v>45754</v>
      </c>
      <c r="C29" s="11">
        <v>26.98</v>
      </c>
      <c r="D29" s="11">
        <v>27.88</v>
      </c>
      <c r="E29" s="11">
        <v>23.75</v>
      </c>
      <c r="F29" s="11">
        <v>25.03</v>
      </c>
      <c r="G29" s="11">
        <v>29.68</v>
      </c>
      <c r="H29" s="11">
        <v>-4.65</v>
      </c>
      <c r="I29" s="11">
        <v>-15.6671</v>
      </c>
      <c r="J29" s="12">
        <v>95029.5</v>
      </c>
      <c r="K29" s="13">
        <v>242189.435</v>
      </c>
      <c r="L29" t="str">
        <f>'300571.SZ_元数据'!$B$5</f>
        <v>事件库1.csv + 股票日行情CSV</v>
      </c>
      <c r="M29" t="s">
        <v>104</v>
      </c>
      <c r="N29" s="3">
        <f>'300571.SZ_元数据'!$B$4</f>
        <v>45803</v>
      </c>
      <c r="O29">
        <f t="shared" si="0"/>
        <v>28</v>
      </c>
      <c r="P29">
        <f t="shared" si="1"/>
        <v>60</v>
      </c>
      <c r="Q29">
        <f t="shared" si="2"/>
        <v>-32</v>
      </c>
      <c r="R29" t="str">
        <f t="shared" si="3"/>
        <v>事件前100个交易日</v>
      </c>
    </row>
    <row r="30" spans="1:18">
      <c r="A30" t="s">
        <v>36</v>
      </c>
      <c r="B30" s="3">
        <v>45755</v>
      </c>
      <c r="C30" s="11">
        <v>25.53</v>
      </c>
      <c r="D30" s="11">
        <v>26.62</v>
      </c>
      <c r="E30" s="11">
        <v>24.39</v>
      </c>
      <c r="F30" s="11">
        <v>25.33</v>
      </c>
      <c r="G30" s="11">
        <v>25.03</v>
      </c>
      <c r="H30" s="11">
        <v>0.3</v>
      </c>
      <c r="I30" s="11">
        <v>1.1986</v>
      </c>
      <c r="J30" s="12">
        <v>63456</v>
      </c>
      <c r="K30" s="13">
        <v>161622.332</v>
      </c>
      <c r="L30" t="str">
        <f>'300571.SZ_元数据'!$B$5</f>
        <v>事件库1.csv + 股票日行情CSV</v>
      </c>
      <c r="M30" t="s">
        <v>104</v>
      </c>
      <c r="N30" s="3">
        <f>'300571.SZ_元数据'!$B$4</f>
        <v>45803</v>
      </c>
      <c r="O30">
        <f t="shared" si="0"/>
        <v>29</v>
      </c>
      <c r="P30">
        <f t="shared" si="1"/>
        <v>60</v>
      </c>
      <c r="Q30">
        <f t="shared" si="2"/>
        <v>-31</v>
      </c>
      <c r="R30" t="str">
        <f t="shared" si="3"/>
        <v>事件前100个交易日</v>
      </c>
    </row>
    <row r="31" spans="1:18">
      <c r="A31" t="s">
        <v>36</v>
      </c>
      <c r="B31" s="3">
        <v>45756</v>
      </c>
      <c r="C31" s="11">
        <v>24.5</v>
      </c>
      <c r="D31" s="11">
        <v>26.75</v>
      </c>
      <c r="E31" s="11">
        <v>22.81</v>
      </c>
      <c r="F31" s="11">
        <v>26.31</v>
      </c>
      <c r="G31" s="11">
        <v>25.33</v>
      </c>
      <c r="H31" s="11">
        <v>0.98</v>
      </c>
      <c r="I31" s="11">
        <v>3.8689</v>
      </c>
      <c r="J31" s="12">
        <v>74996</v>
      </c>
      <c r="K31" s="13">
        <v>189159.044</v>
      </c>
      <c r="L31" t="str">
        <f>'300571.SZ_元数据'!$B$5</f>
        <v>事件库1.csv + 股票日行情CSV</v>
      </c>
      <c r="M31" t="s">
        <v>104</v>
      </c>
      <c r="N31" s="3">
        <f>'300571.SZ_元数据'!$B$4</f>
        <v>45803</v>
      </c>
      <c r="O31">
        <f t="shared" si="0"/>
        <v>30</v>
      </c>
      <c r="P31">
        <f t="shared" si="1"/>
        <v>60</v>
      </c>
      <c r="Q31">
        <f t="shared" si="2"/>
        <v>-30</v>
      </c>
      <c r="R31" t="str">
        <f t="shared" si="3"/>
        <v>事件前100个交易日</v>
      </c>
    </row>
    <row r="32" spans="1:18">
      <c r="A32" t="s">
        <v>36</v>
      </c>
      <c r="B32" s="3">
        <v>45757</v>
      </c>
      <c r="C32" s="11">
        <v>27.33</v>
      </c>
      <c r="D32" s="11">
        <v>27.88</v>
      </c>
      <c r="E32" s="11">
        <v>26.88</v>
      </c>
      <c r="F32" s="11">
        <v>26.92</v>
      </c>
      <c r="G32" s="11">
        <v>26.31</v>
      </c>
      <c r="H32" s="11">
        <v>0.61</v>
      </c>
      <c r="I32" s="11">
        <v>2.3185</v>
      </c>
      <c r="J32" s="12">
        <v>57442</v>
      </c>
      <c r="K32" s="13">
        <v>156864.759</v>
      </c>
      <c r="L32" t="str">
        <f>'300571.SZ_元数据'!$B$5</f>
        <v>事件库1.csv + 股票日行情CSV</v>
      </c>
      <c r="M32" t="s">
        <v>104</v>
      </c>
      <c r="N32" s="3">
        <f>'300571.SZ_元数据'!$B$4</f>
        <v>45803</v>
      </c>
      <c r="O32">
        <f t="shared" si="0"/>
        <v>31</v>
      </c>
      <c r="P32">
        <f t="shared" si="1"/>
        <v>60</v>
      </c>
      <c r="Q32">
        <f t="shared" si="2"/>
        <v>-29</v>
      </c>
      <c r="R32" t="str">
        <f t="shared" si="3"/>
        <v>事件前100个交易日</v>
      </c>
    </row>
    <row r="33" spans="1:18">
      <c r="A33" t="s">
        <v>36</v>
      </c>
      <c r="B33" s="3">
        <v>45758</v>
      </c>
      <c r="C33" s="11">
        <v>26.9</v>
      </c>
      <c r="D33" s="11">
        <v>27.6</v>
      </c>
      <c r="E33" s="11">
        <v>26.37</v>
      </c>
      <c r="F33" s="11">
        <v>27.07</v>
      </c>
      <c r="G33" s="11">
        <v>26.92</v>
      </c>
      <c r="H33" s="11">
        <v>0.15</v>
      </c>
      <c r="I33" s="11">
        <v>0.5572</v>
      </c>
      <c r="J33" s="12">
        <v>39160</v>
      </c>
      <c r="K33" s="13">
        <v>106344.635</v>
      </c>
      <c r="L33" t="str">
        <f>'300571.SZ_元数据'!$B$5</f>
        <v>事件库1.csv + 股票日行情CSV</v>
      </c>
      <c r="M33" t="s">
        <v>104</v>
      </c>
      <c r="N33" s="3">
        <f>'300571.SZ_元数据'!$B$4</f>
        <v>45803</v>
      </c>
      <c r="O33">
        <f t="shared" si="0"/>
        <v>32</v>
      </c>
      <c r="P33">
        <f t="shared" si="1"/>
        <v>60</v>
      </c>
      <c r="Q33">
        <f t="shared" si="2"/>
        <v>-28</v>
      </c>
      <c r="R33" t="str">
        <f t="shared" si="3"/>
        <v>事件前100个交易日</v>
      </c>
    </row>
    <row r="34" spans="1:18">
      <c r="A34" t="s">
        <v>36</v>
      </c>
      <c r="B34" s="3">
        <v>45761</v>
      </c>
      <c r="C34" s="11">
        <v>27.58</v>
      </c>
      <c r="D34" s="11">
        <v>27.87</v>
      </c>
      <c r="E34" s="11">
        <v>26.93</v>
      </c>
      <c r="F34" s="11">
        <v>27.05</v>
      </c>
      <c r="G34" s="11">
        <v>27.07</v>
      </c>
      <c r="H34" s="11">
        <v>-0.02</v>
      </c>
      <c r="I34" s="11">
        <v>-0.0739</v>
      </c>
      <c r="J34" s="12">
        <v>41165</v>
      </c>
      <c r="K34" s="13">
        <v>112528.575</v>
      </c>
      <c r="L34" t="str">
        <f>'300571.SZ_元数据'!$B$5</f>
        <v>事件库1.csv + 股票日行情CSV</v>
      </c>
      <c r="M34" t="s">
        <v>104</v>
      </c>
      <c r="N34" s="3">
        <f>'300571.SZ_元数据'!$B$4</f>
        <v>45803</v>
      </c>
      <c r="O34">
        <f t="shared" si="0"/>
        <v>33</v>
      </c>
      <c r="P34">
        <f t="shared" si="1"/>
        <v>60</v>
      </c>
      <c r="Q34">
        <f t="shared" si="2"/>
        <v>-27</v>
      </c>
      <c r="R34" t="str">
        <f t="shared" si="3"/>
        <v>事件前100个交易日</v>
      </c>
    </row>
    <row r="35" spans="1:18">
      <c r="A35" t="s">
        <v>36</v>
      </c>
      <c r="B35" s="3">
        <v>45762</v>
      </c>
      <c r="C35" s="11">
        <v>27.45</v>
      </c>
      <c r="D35" s="11">
        <v>28.13</v>
      </c>
      <c r="E35" s="11">
        <v>26.82</v>
      </c>
      <c r="F35" s="11">
        <v>27.35</v>
      </c>
      <c r="G35" s="11">
        <v>27.05</v>
      </c>
      <c r="H35" s="11">
        <v>0.3</v>
      </c>
      <c r="I35" s="11">
        <v>1.1091</v>
      </c>
      <c r="J35" s="12">
        <v>66333</v>
      </c>
      <c r="K35" s="13">
        <v>181588.206</v>
      </c>
      <c r="L35" t="str">
        <f>'300571.SZ_元数据'!$B$5</f>
        <v>事件库1.csv + 股票日行情CSV</v>
      </c>
      <c r="M35" t="s">
        <v>104</v>
      </c>
      <c r="N35" s="3">
        <f>'300571.SZ_元数据'!$B$4</f>
        <v>45803</v>
      </c>
      <c r="O35">
        <f t="shared" si="0"/>
        <v>34</v>
      </c>
      <c r="P35">
        <f t="shared" si="1"/>
        <v>60</v>
      </c>
      <c r="Q35">
        <f t="shared" si="2"/>
        <v>-26</v>
      </c>
      <c r="R35" t="str">
        <f t="shared" si="3"/>
        <v>事件前100个交易日</v>
      </c>
    </row>
    <row r="36" spans="1:18">
      <c r="A36" t="s">
        <v>36</v>
      </c>
      <c r="B36" s="3">
        <v>45763</v>
      </c>
      <c r="C36" s="11">
        <v>27.07</v>
      </c>
      <c r="D36" s="11">
        <v>27.34</v>
      </c>
      <c r="E36" s="11">
        <v>25.89</v>
      </c>
      <c r="F36" s="11">
        <v>26.3</v>
      </c>
      <c r="G36" s="11">
        <v>27.35</v>
      </c>
      <c r="H36" s="11">
        <v>-1.05</v>
      </c>
      <c r="I36" s="11">
        <v>-3.8391</v>
      </c>
      <c r="J36" s="12">
        <v>51910</v>
      </c>
      <c r="K36" s="13">
        <v>137863.562</v>
      </c>
      <c r="L36" t="str">
        <f>'300571.SZ_元数据'!$B$5</f>
        <v>事件库1.csv + 股票日行情CSV</v>
      </c>
      <c r="M36" t="s">
        <v>104</v>
      </c>
      <c r="N36" s="3">
        <f>'300571.SZ_元数据'!$B$4</f>
        <v>45803</v>
      </c>
      <c r="O36">
        <f t="shared" si="0"/>
        <v>35</v>
      </c>
      <c r="P36">
        <f t="shared" si="1"/>
        <v>60</v>
      </c>
      <c r="Q36">
        <f t="shared" si="2"/>
        <v>-25</v>
      </c>
      <c r="R36" t="str">
        <f t="shared" si="3"/>
        <v>事件前100个交易日</v>
      </c>
    </row>
    <row r="37" spans="1:18">
      <c r="A37" t="s">
        <v>36</v>
      </c>
      <c r="B37" s="3">
        <v>45764</v>
      </c>
      <c r="C37" s="11">
        <v>25.92</v>
      </c>
      <c r="D37" s="11">
        <v>26.77</v>
      </c>
      <c r="E37" s="11">
        <v>25.92</v>
      </c>
      <c r="F37" s="11">
        <v>26.26</v>
      </c>
      <c r="G37" s="11">
        <v>26.3</v>
      </c>
      <c r="H37" s="11">
        <v>-0.04</v>
      </c>
      <c r="I37" s="11">
        <v>-0.1521</v>
      </c>
      <c r="J37" s="12">
        <v>32462</v>
      </c>
      <c r="K37" s="13">
        <v>85996.487</v>
      </c>
      <c r="L37" t="str">
        <f>'300571.SZ_元数据'!$B$5</f>
        <v>事件库1.csv + 股票日行情CSV</v>
      </c>
      <c r="M37" t="s">
        <v>104</v>
      </c>
      <c r="N37" s="3">
        <f>'300571.SZ_元数据'!$B$4</f>
        <v>45803</v>
      </c>
      <c r="O37">
        <f t="shared" si="0"/>
        <v>36</v>
      </c>
      <c r="P37">
        <f t="shared" si="1"/>
        <v>60</v>
      </c>
      <c r="Q37">
        <f t="shared" si="2"/>
        <v>-24</v>
      </c>
      <c r="R37" t="str">
        <f t="shared" si="3"/>
        <v>事件前100个交易日</v>
      </c>
    </row>
    <row r="38" spans="1:18">
      <c r="A38" t="s">
        <v>36</v>
      </c>
      <c r="B38" s="3">
        <v>45765</v>
      </c>
      <c r="C38" s="11">
        <v>26.27</v>
      </c>
      <c r="D38" s="11">
        <v>27.22</v>
      </c>
      <c r="E38" s="11">
        <v>26.1</v>
      </c>
      <c r="F38" s="11">
        <v>26.9</v>
      </c>
      <c r="G38" s="11">
        <v>26.26</v>
      </c>
      <c r="H38" s="11">
        <v>0.64</v>
      </c>
      <c r="I38" s="11">
        <v>2.4372</v>
      </c>
      <c r="J38" s="12">
        <v>40012</v>
      </c>
      <c r="K38" s="13">
        <v>106473.686</v>
      </c>
      <c r="L38" t="str">
        <f>'300571.SZ_元数据'!$B$5</f>
        <v>事件库1.csv + 股票日行情CSV</v>
      </c>
      <c r="M38" t="s">
        <v>104</v>
      </c>
      <c r="N38" s="3">
        <f>'300571.SZ_元数据'!$B$4</f>
        <v>45803</v>
      </c>
      <c r="O38">
        <f t="shared" si="0"/>
        <v>37</v>
      </c>
      <c r="P38">
        <f t="shared" si="1"/>
        <v>60</v>
      </c>
      <c r="Q38">
        <f t="shared" si="2"/>
        <v>-23</v>
      </c>
      <c r="R38" t="str">
        <f t="shared" si="3"/>
        <v>事件前100个交易日</v>
      </c>
    </row>
    <row r="39" spans="1:18">
      <c r="A39" t="s">
        <v>36</v>
      </c>
      <c r="B39" s="3">
        <v>45768</v>
      </c>
      <c r="C39" s="11">
        <v>26.81</v>
      </c>
      <c r="D39" s="11">
        <v>27.68</v>
      </c>
      <c r="E39" s="11">
        <v>26.73</v>
      </c>
      <c r="F39" s="11">
        <v>27.62</v>
      </c>
      <c r="G39" s="11">
        <v>26.9</v>
      </c>
      <c r="H39" s="11">
        <v>0.72</v>
      </c>
      <c r="I39" s="11">
        <v>2.6766</v>
      </c>
      <c r="J39" s="12">
        <v>43469</v>
      </c>
      <c r="K39" s="13">
        <v>119124.745</v>
      </c>
      <c r="L39" t="str">
        <f>'300571.SZ_元数据'!$B$5</f>
        <v>事件库1.csv + 股票日行情CSV</v>
      </c>
      <c r="M39" t="s">
        <v>104</v>
      </c>
      <c r="N39" s="3">
        <f>'300571.SZ_元数据'!$B$4</f>
        <v>45803</v>
      </c>
      <c r="O39">
        <f t="shared" si="0"/>
        <v>38</v>
      </c>
      <c r="P39">
        <f t="shared" si="1"/>
        <v>60</v>
      </c>
      <c r="Q39">
        <f t="shared" si="2"/>
        <v>-22</v>
      </c>
      <c r="R39" t="str">
        <f t="shared" si="3"/>
        <v>事件前100个交易日</v>
      </c>
    </row>
    <row r="40" spans="1:18">
      <c r="A40" t="s">
        <v>36</v>
      </c>
      <c r="B40" s="3">
        <v>45769</v>
      </c>
      <c r="C40" s="11">
        <v>28.39</v>
      </c>
      <c r="D40" s="11">
        <v>28.5</v>
      </c>
      <c r="E40" s="11">
        <v>27.28</v>
      </c>
      <c r="F40" s="11">
        <v>27.4</v>
      </c>
      <c r="G40" s="11">
        <v>27.62</v>
      </c>
      <c r="H40" s="11">
        <v>-0.22</v>
      </c>
      <c r="I40" s="11">
        <v>-0.7965</v>
      </c>
      <c r="J40" s="12">
        <v>45561</v>
      </c>
      <c r="K40" s="13">
        <v>126056.119</v>
      </c>
      <c r="L40" t="str">
        <f>'300571.SZ_元数据'!$B$5</f>
        <v>事件库1.csv + 股票日行情CSV</v>
      </c>
      <c r="M40" t="s">
        <v>104</v>
      </c>
      <c r="N40" s="3">
        <f>'300571.SZ_元数据'!$B$4</f>
        <v>45803</v>
      </c>
      <c r="O40">
        <f t="shared" si="0"/>
        <v>39</v>
      </c>
      <c r="P40">
        <f t="shared" si="1"/>
        <v>60</v>
      </c>
      <c r="Q40">
        <f t="shared" si="2"/>
        <v>-21</v>
      </c>
      <c r="R40" t="str">
        <f t="shared" si="3"/>
        <v>事件前100个交易日</v>
      </c>
    </row>
    <row r="41" spans="1:18">
      <c r="A41" t="s">
        <v>36</v>
      </c>
      <c r="B41" s="3">
        <v>45770</v>
      </c>
      <c r="C41" s="11">
        <v>27.66</v>
      </c>
      <c r="D41" s="11">
        <v>28.19</v>
      </c>
      <c r="E41" s="11">
        <v>27.6</v>
      </c>
      <c r="F41" s="11">
        <v>27.85</v>
      </c>
      <c r="G41" s="11">
        <v>27.4</v>
      </c>
      <c r="H41" s="11">
        <v>0.45</v>
      </c>
      <c r="I41" s="11">
        <v>1.6423</v>
      </c>
      <c r="J41" s="12">
        <v>46631</v>
      </c>
      <c r="K41" s="13">
        <v>130138.189</v>
      </c>
      <c r="L41" t="str">
        <f>'300571.SZ_元数据'!$B$5</f>
        <v>事件库1.csv + 股票日行情CSV</v>
      </c>
      <c r="M41" t="s">
        <v>104</v>
      </c>
      <c r="N41" s="3">
        <f>'300571.SZ_元数据'!$B$4</f>
        <v>45803</v>
      </c>
      <c r="O41">
        <f t="shared" si="0"/>
        <v>40</v>
      </c>
      <c r="P41">
        <f t="shared" si="1"/>
        <v>60</v>
      </c>
      <c r="Q41">
        <f t="shared" si="2"/>
        <v>-20</v>
      </c>
      <c r="R41" t="str">
        <f t="shared" si="3"/>
        <v>事件前100个交易日</v>
      </c>
    </row>
    <row r="42" spans="1:18">
      <c r="A42" t="s">
        <v>36</v>
      </c>
      <c r="B42" s="3">
        <v>45771</v>
      </c>
      <c r="C42" s="11">
        <v>27.6</v>
      </c>
      <c r="D42" s="11">
        <v>27.72</v>
      </c>
      <c r="E42" s="11">
        <v>26.72</v>
      </c>
      <c r="F42" s="11">
        <v>26.79</v>
      </c>
      <c r="G42" s="11">
        <v>27.85</v>
      </c>
      <c r="H42" s="11">
        <v>-1.06</v>
      </c>
      <c r="I42" s="11">
        <v>-3.8061</v>
      </c>
      <c r="J42" s="12">
        <v>39455</v>
      </c>
      <c r="K42" s="13">
        <v>106902.409</v>
      </c>
      <c r="L42" t="str">
        <f>'300571.SZ_元数据'!$B$5</f>
        <v>事件库1.csv + 股票日行情CSV</v>
      </c>
      <c r="M42" t="s">
        <v>104</v>
      </c>
      <c r="N42" s="3">
        <f>'300571.SZ_元数据'!$B$4</f>
        <v>45803</v>
      </c>
      <c r="O42">
        <f t="shared" si="0"/>
        <v>41</v>
      </c>
      <c r="P42">
        <f t="shared" si="1"/>
        <v>60</v>
      </c>
      <c r="Q42">
        <f t="shared" si="2"/>
        <v>-19</v>
      </c>
      <c r="R42" t="str">
        <f t="shared" si="3"/>
        <v>事件前100个交易日</v>
      </c>
    </row>
    <row r="43" spans="1:18">
      <c r="A43" t="s">
        <v>36</v>
      </c>
      <c r="B43" s="3">
        <v>45772</v>
      </c>
      <c r="C43" s="11">
        <v>27</v>
      </c>
      <c r="D43" s="11">
        <v>27.49</v>
      </c>
      <c r="E43" s="11">
        <v>26.79</v>
      </c>
      <c r="F43" s="11">
        <v>26.96</v>
      </c>
      <c r="G43" s="11">
        <v>26.79</v>
      </c>
      <c r="H43" s="11">
        <v>0.17</v>
      </c>
      <c r="I43" s="11">
        <v>0.6346</v>
      </c>
      <c r="J43" s="12">
        <v>29684</v>
      </c>
      <c r="K43" s="13">
        <v>80675.009</v>
      </c>
      <c r="L43" t="str">
        <f>'300571.SZ_元数据'!$B$5</f>
        <v>事件库1.csv + 股票日行情CSV</v>
      </c>
      <c r="M43" t="s">
        <v>104</v>
      </c>
      <c r="N43" s="3">
        <f>'300571.SZ_元数据'!$B$4</f>
        <v>45803</v>
      </c>
      <c r="O43">
        <f t="shared" si="0"/>
        <v>42</v>
      </c>
      <c r="P43">
        <f t="shared" si="1"/>
        <v>60</v>
      </c>
      <c r="Q43">
        <f t="shared" si="2"/>
        <v>-18</v>
      </c>
      <c r="R43" t="str">
        <f t="shared" si="3"/>
        <v>事件前100个交易日</v>
      </c>
    </row>
    <row r="44" spans="1:18">
      <c r="A44" t="s">
        <v>36</v>
      </c>
      <c r="B44" s="3">
        <v>45775</v>
      </c>
      <c r="C44" s="11">
        <v>26.87</v>
      </c>
      <c r="D44" s="11">
        <v>27.58</v>
      </c>
      <c r="E44" s="11">
        <v>26.71</v>
      </c>
      <c r="F44" s="11">
        <v>27.05</v>
      </c>
      <c r="G44" s="11">
        <v>26.96</v>
      </c>
      <c r="H44" s="11">
        <v>0.09</v>
      </c>
      <c r="I44" s="11">
        <v>0.3338</v>
      </c>
      <c r="J44" s="12">
        <v>30222</v>
      </c>
      <c r="K44" s="13">
        <v>82229.269</v>
      </c>
      <c r="L44" t="str">
        <f>'300571.SZ_元数据'!$B$5</f>
        <v>事件库1.csv + 股票日行情CSV</v>
      </c>
      <c r="M44" t="s">
        <v>104</v>
      </c>
      <c r="N44" s="3">
        <f>'300571.SZ_元数据'!$B$4</f>
        <v>45803</v>
      </c>
      <c r="O44">
        <f t="shared" si="0"/>
        <v>43</v>
      </c>
      <c r="P44">
        <f t="shared" si="1"/>
        <v>60</v>
      </c>
      <c r="Q44">
        <f t="shared" si="2"/>
        <v>-17</v>
      </c>
      <c r="R44" t="str">
        <f t="shared" si="3"/>
        <v>事件前100个交易日</v>
      </c>
    </row>
    <row r="45" spans="1:18">
      <c r="A45" t="s">
        <v>36</v>
      </c>
      <c r="B45" s="3">
        <v>45776</v>
      </c>
      <c r="C45" s="11">
        <v>28</v>
      </c>
      <c r="D45" s="11">
        <v>32.46</v>
      </c>
      <c r="E45" s="11">
        <v>28</v>
      </c>
      <c r="F45" s="11">
        <v>32.46</v>
      </c>
      <c r="G45" s="11">
        <v>27.05</v>
      </c>
      <c r="H45" s="11">
        <v>5.41</v>
      </c>
      <c r="I45" s="11">
        <v>20</v>
      </c>
      <c r="J45" s="12">
        <v>166697</v>
      </c>
      <c r="K45" s="13">
        <v>509013.354</v>
      </c>
      <c r="L45" t="str">
        <f>'300571.SZ_元数据'!$B$5</f>
        <v>事件库1.csv + 股票日行情CSV</v>
      </c>
      <c r="M45" t="s">
        <v>104</v>
      </c>
      <c r="N45" s="3">
        <f>'300571.SZ_元数据'!$B$4</f>
        <v>45803</v>
      </c>
      <c r="O45">
        <f t="shared" si="0"/>
        <v>44</v>
      </c>
      <c r="P45">
        <f t="shared" si="1"/>
        <v>60</v>
      </c>
      <c r="Q45">
        <f t="shared" si="2"/>
        <v>-16</v>
      </c>
      <c r="R45" t="str">
        <f t="shared" si="3"/>
        <v>事件前100个交易日</v>
      </c>
    </row>
    <row r="46" spans="1:18">
      <c r="A46" t="s">
        <v>36</v>
      </c>
      <c r="B46" s="3">
        <v>45777</v>
      </c>
      <c r="C46" s="11">
        <v>31.52</v>
      </c>
      <c r="D46" s="11">
        <v>35.65</v>
      </c>
      <c r="E46" s="11">
        <v>31.2</v>
      </c>
      <c r="F46" s="11">
        <v>33.17</v>
      </c>
      <c r="G46" s="11">
        <v>32.46</v>
      </c>
      <c r="H46" s="11">
        <v>0.71</v>
      </c>
      <c r="I46" s="11">
        <v>2.1873</v>
      </c>
      <c r="J46" s="12">
        <v>251396.2</v>
      </c>
      <c r="K46" s="13">
        <v>837258.345</v>
      </c>
      <c r="L46" t="str">
        <f>'300571.SZ_元数据'!$B$5</f>
        <v>事件库1.csv + 股票日行情CSV</v>
      </c>
      <c r="M46" t="s">
        <v>104</v>
      </c>
      <c r="N46" s="3">
        <f>'300571.SZ_元数据'!$B$4</f>
        <v>45803</v>
      </c>
      <c r="O46">
        <f t="shared" si="0"/>
        <v>45</v>
      </c>
      <c r="P46">
        <f t="shared" si="1"/>
        <v>60</v>
      </c>
      <c r="Q46">
        <f t="shared" si="2"/>
        <v>-15</v>
      </c>
      <c r="R46" t="str">
        <f t="shared" si="3"/>
        <v>事件前100个交易日</v>
      </c>
    </row>
    <row r="47" spans="1:18">
      <c r="A47" t="s">
        <v>36</v>
      </c>
      <c r="B47" s="3">
        <v>45783</v>
      </c>
      <c r="C47" s="11">
        <v>33.33</v>
      </c>
      <c r="D47" s="11">
        <v>35.85</v>
      </c>
      <c r="E47" s="11">
        <v>32.33</v>
      </c>
      <c r="F47" s="11">
        <v>34.73</v>
      </c>
      <c r="G47" s="11">
        <v>33.17</v>
      </c>
      <c r="H47" s="11">
        <v>1.56</v>
      </c>
      <c r="I47" s="11">
        <v>4.703</v>
      </c>
      <c r="J47" s="12">
        <v>229120.96</v>
      </c>
      <c r="K47" s="13">
        <v>778887.196</v>
      </c>
      <c r="L47" t="str">
        <f>'300571.SZ_元数据'!$B$5</f>
        <v>事件库1.csv + 股票日行情CSV</v>
      </c>
      <c r="M47" t="s">
        <v>104</v>
      </c>
      <c r="N47" s="3">
        <f>'300571.SZ_元数据'!$B$4</f>
        <v>45803</v>
      </c>
      <c r="O47">
        <f t="shared" si="0"/>
        <v>46</v>
      </c>
      <c r="P47">
        <f t="shared" si="1"/>
        <v>60</v>
      </c>
      <c r="Q47">
        <f t="shared" si="2"/>
        <v>-14</v>
      </c>
      <c r="R47" t="str">
        <f t="shared" si="3"/>
        <v>事件前100个交易日</v>
      </c>
    </row>
    <row r="48" spans="1:18">
      <c r="A48" t="s">
        <v>36</v>
      </c>
      <c r="B48" s="3">
        <v>45784</v>
      </c>
      <c r="C48" s="11">
        <v>34.96</v>
      </c>
      <c r="D48" s="11">
        <v>35.17</v>
      </c>
      <c r="E48" s="11">
        <v>33.02</v>
      </c>
      <c r="F48" s="11">
        <v>33.78</v>
      </c>
      <c r="G48" s="11">
        <v>34.73</v>
      </c>
      <c r="H48" s="11">
        <v>-0.95</v>
      </c>
      <c r="I48" s="11">
        <v>-2.7354</v>
      </c>
      <c r="J48" s="12">
        <v>173634.14</v>
      </c>
      <c r="K48" s="13">
        <v>586148.548</v>
      </c>
      <c r="L48" t="str">
        <f>'300571.SZ_元数据'!$B$5</f>
        <v>事件库1.csv + 股票日行情CSV</v>
      </c>
      <c r="M48" t="s">
        <v>104</v>
      </c>
      <c r="N48" s="3">
        <f>'300571.SZ_元数据'!$B$4</f>
        <v>45803</v>
      </c>
      <c r="O48">
        <f t="shared" si="0"/>
        <v>47</v>
      </c>
      <c r="P48">
        <f t="shared" si="1"/>
        <v>60</v>
      </c>
      <c r="Q48">
        <f t="shared" si="2"/>
        <v>-13</v>
      </c>
      <c r="R48" t="str">
        <f t="shared" si="3"/>
        <v>事件前100个交易日</v>
      </c>
    </row>
    <row r="49" spans="1:19">
      <c r="A49" t="s">
        <v>36</v>
      </c>
      <c r="B49" s="3">
        <v>45785</v>
      </c>
      <c r="C49" s="11">
        <v>33.12</v>
      </c>
      <c r="D49" s="11">
        <v>33.68</v>
      </c>
      <c r="E49" s="11">
        <v>33.06</v>
      </c>
      <c r="F49" s="11">
        <v>33.09</v>
      </c>
      <c r="G49" s="11">
        <v>33.78</v>
      </c>
      <c r="H49" s="11">
        <v>-0.69</v>
      </c>
      <c r="I49" s="11">
        <v>-2.0426</v>
      </c>
      <c r="J49" s="12">
        <v>105335.35</v>
      </c>
      <c r="K49" s="13">
        <v>350743.859</v>
      </c>
      <c r="L49" t="str">
        <f>'300571.SZ_元数据'!$B$5</f>
        <v>事件库1.csv + 股票日行情CSV</v>
      </c>
      <c r="M49" t="s">
        <v>104</v>
      </c>
      <c r="N49" s="3">
        <f>'300571.SZ_元数据'!$B$4</f>
        <v>45803</v>
      </c>
      <c r="O49">
        <f t="shared" si="0"/>
        <v>48</v>
      </c>
      <c r="P49">
        <f t="shared" si="1"/>
        <v>60</v>
      </c>
      <c r="Q49">
        <f t="shared" si="2"/>
        <v>-12</v>
      </c>
      <c r="R49" t="str">
        <f t="shared" si="3"/>
        <v>事件前100个交易日</v>
      </c>
    </row>
    <row r="50" spans="1:19">
      <c r="A50" t="s">
        <v>36</v>
      </c>
      <c r="B50" s="3">
        <v>45786</v>
      </c>
      <c r="C50" s="11">
        <v>33</v>
      </c>
      <c r="D50" s="11">
        <v>33.11</v>
      </c>
      <c r="E50" s="11">
        <v>32.03</v>
      </c>
      <c r="F50" s="11">
        <v>32.35</v>
      </c>
      <c r="G50" s="11">
        <v>33.09</v>
      </c>
      <c r="H50" s="11">
        <v>-0.74</v>
      </c>
      <c r="I50" s="11">
        <v>-2.2363</v>
      </c>
      <c r="J50" s="12">
        <v>82039.26</v>
      </c>
      <c r="K50" s="13">
        <v>265681.465</v>
      </c>
      <c r="L50" t="str">
        <f>'300571.SZ_元数据'!$B$5</f>
        <v>事件库1.csv + 股票日行情CSV</v>
      </c>
      <c r="M50" t="s">
        <v>104</v>
      </c>
      <c r="N50" s="3">
        <f>'300571.SZ_元数据'!$B$4</f>
        <v>45803</v>
      </c>
      <c r="O50">
        <f t="shared" si="0"/>
        <v>49</v>
      </c>
      <c r="P50">
        <f t="shared" si="1"/>
        <v>60</v>
      </c>
      <c r="Q50">
        <f t="shared" si="2"/>
        <v>-11</v>
      </c>
      <c r="R50" t="str">
        <f t="shared" si="3"/>
        <v>事件前100个交易日</v>
      </c>
    </row>
    <row r="51" spans="1:19">
      <c r="A51" t="s">
        <v>36</v>
      </c>
      <c r="B51" s="3">
        <v>45789</v>
      </c>
      <c r="C51" s="11">
        <v>32.62</v>
      </c>
      <c r="D51" s="11">
        <v>32.85</v>
      </c>
      <c r="E51" s="11">
        <v>32.11</v>
      </c>
      <c r="F51" s="11">
        <v>32.65</v>
      </c>
      <c r="G51" s="11">
        <v>32.35</v>
      </c>
      <c r="H51" s="11">
        <v>0.3</v>
      </c>
      <c r="I51" s="11">
        <v>0.9274</v>
      </c>
      <c r="J51" s="12">
        <v>75748.96</v>
      </c>
      <c r="K51" s="13">
        <v>245568.545</v>
      </c>
      <c r="L51" t="str">
        <f>'300571.SZ_元数据'!$B$5</f>
        <v>事件库1.csv + 股票日行情CSV</v>
      </c>
      <c r="M51" t="s">
        <v>104</v>
      </c>
      <c r="N51" s="3">
        <f>'300571.SZ_元数据'!$B$4</f>
        <v>45803</v>
      </c>
      <c r="O51">
        <f t="shared" si="0"/>
        <v>50</v>
      </c>
      <c r="P51">
        <f t="shared" si="1"/>
        <v>60</v>
      </c>
      <c r="Q51">
        <f t="shared" si="2"/>
        <v>-10</v>
      </c>
      <c r="R51" t="str">
        <f t="shared" si="3"/>
        <v>事件前100个交易日</v>
      </c>
    </row>
    <row r="52" spans="1:19">
      <c r="A52" t="s">
        <v>36</v>
      </c>
      <c r="B52" s="3">
        <v>45790</v>
      </c>
      <c r="C52" s="11">
        <v>33.14</v>
      </c>
      <c r="D52" s="11">
        <v>33.68</v>
      </c>
      <c r="E52" s="11">
        <v>32.42</v>
      </c>
      <c r="F52" s="11">
        <v>33.29</v>
      </c>
      <c r="G52" s="11">
        <v>32.65</v>
      </c>
      <c r="H52" s="11">
        <v>0.64</v>
      </c>
      <c r="I52" s="11">
        <v>1.9602</v>
      </c>
      <c r="J52" s="12">
        <v>122514.84</v>
      </c>
      <c r="K52" s="13">
        <v>405061.084</v>
      </c>
      <c r="L52" t="str">
        <f>'300571.SZ_元数据'!$B$5</f>
        <v>事件库1.csv + 股票日行情CSV</v>
      </c>
      <c r="M52" t="s">
        <v>104</v>
      </c>
      <c r="N52" s="3">
        <f>'300571.SZ_元数据'!$B$4</f>
        <v>45803</v>
      </c>
      <c r="O52">
        <f t="shared" si="0"/>
        <v>51</v>
      </c>
      <c r="P52">
        <f t="shared" si="1"/>
        <v>60</v>
      </c>
      <c r="Q52">
        <f t="shared" si="2"/>
        <v>-9</v>
      </c>
      <c r="R52" t="str">
        <f t="shared" si="3"/>
        <v>事件前100个交易日</v>
      </c>
    </row>
    <row r="53" spans="1:19">
      <c r="A53" t="s">
        <v>36</v>
      </c>
      <c r="B53" s="3">
        <v>45791</v>
      </c>
      <c r="C53" s="11">
        <v>33</v>
      </c>
      <c r="D53" s="11">
        <v>34.53</v>
      </c>
      <c r="E53" s="11">
        <v>32.75</v>
      </c>
      <c r="F53" s="11">
        <v>34.53</v>
      </c>
      <c r="G53" s="11">
        <v>33.29</v>
      </c>
      <c r="H53" s="11">
        <v>1.24</v>
      </c>
      <c r="I53" s="11">
        <v>3.7248</v>
      </c>
      <c r="J53" s="12">
        <v>169505.62</v>
      </c>
      <c r="K53" s="13">
        <v>572290.653</v>
      </c>
      <c r="L53" t="str">
        <f>'300571.SZ_元数据'!$B$5</f>
        <v>事件库1.csv + 股票日行情CSV</v>
      </c>
      <c r="M53" t="s">
        <v>104</v>
      </c>
      <c r="N53" s="3">
        <f>'300571.SZ_元数据'!$B$4</f>
        <v>45803</v>
      </c>
      <c r="O53">
        <f t="shared" si="0"/>
        <v>52</v>
      </c>
      <c r="P53">
        <f t="shared" si="1"/>
        <v>60</v>
      </c>
      <c r="Q53">
        <f t="shared" si="2"/>
        <v>-8</v>
      </c>
      <c r="R53" t="str">
        <f t="shared" si="3"/>
        <v>事件前100个交易日</v>
      </c>
    </row>
    <row r="54" spans="1:19">
      <c r="A54" t="s">
        <v>36</v>
      </c>
      <c r="B54" s="3">
        <v>45792</v>
      </c>
      <c r="C54" s="11">
        <v>33.88</v>
      </c>
      <c r="D54" s="11">
        <v>33.88</v>
      </c>
      <c r="E54" s="11">
        <v>31.79</v>
      </c>
      <c r="F54" s="11">
        <v>31.89</v>
      </c>
      <c r="G54" s="11">
        <v>34.53</v>
      </c>
      <c r="H54" s="11">
        <v>-2.64</v>
      </c>
      <c r="I54" s="11">
        <v>-7.6455</v>
      </c>
      <c r="J54" s="12">
        <v>110532.83</v>
      </c>
      <c r="K54" s="13">
        <v>361665.308</v>
      </c>
      <c r="L54" t="str">
        <f>'300571.SZ_元数据'!$B$5</f>
        <v>事件库1.csv + 股票日行情CSV</v>
      </c>
      <c r="M54" t="s">
        <v>104</v>
      </c>
      <c r="N54" s="3">
        <f>'300571.SZ_元数据'!$B$4</f>
        <v>45803</v>
      </c>
      <c r="O54">
        <f t="shared" si="0"/>
        <v>53</v>
      </c>
      <c r="P54">
        <f t="shared" si="1"/>
        <v>60</v>
      </c>
      <c r="Q54">
        <f t="shared" si="2"/>
        <v>-7</v>
      </c>
      <c r="R54" t="str">
        <f t="shared" si="3"/>
        <v>事件前100个交易日</v>
      </c>
    </row>
    <row r="55" spans="1:19">
      <c r="A55" t="s">
        <v>36</v>
      </c>
      <c r="B55" s="3">
        <v>45793</v>
      </c>
      <c r="C55" s="11">
        <v>31.31</v>
      </c>
      <c r="D55" s="11">
        <v>32.47</v>
      </c>
      <c r="E55" s="11">
        <v>31.31</v>
      </c>
      <c r="F55" s="11">
        <v>32.3</v>
      </c>
      <c r="G55" s="11">
        <v>31.89</v>
      </c>
      <c r="H55" s="11">
        <v>0.41</v>
      </c>
      <c r="I55" s="11">
        <v>1.2857</v>
      </c>
      <c r="J55" s="12">
        <v>62013.49</v>
      </c>
      <c r="K55" s="13">
        <v>199153.463</v>
      </c>
      <c r="L55" t="str">
        <f>'300571.SZ_元数据'!$B$5</f>
        <v>事件库1.csv + 股票日行情CSV</v>
      </c>
      <c r="M55" t="s">
        <v>104</v>
      </c>
      <c r="N55" s="3">
        <f>'300571.SZ_元数据'!$B$4</f>
        <v>45803</v>
      </c>
      <c r="O55">
        <f t="shared" si="0"/>
        <v>54</v>
      </c>
      <c r="P55">
        <f t="shared" si="1"/>
        <v>60</v>
      </c>
      <c r="Q55">
        <f t="shared" si="2"/>
        <v>-6</v>
      </c>
      <c r="R55" t="str">
        <f t="shared" si="3"/>
        <v>事件前100个交易日</v>
      </c>
    </row>
    <row r="56" spans="1:19">
      <c r="A56" t="s">
        <v>36</v>
      </c>
      <c r="B56" s="3">
        <v>45796</v>
      </c>
      <c r="C56" s="11">
        <v>32.45</v>
      </c>
      <c r="D56" s="11">
        <v>32.67</v>
      </c>
      <c r="E56" s="11">
        <v>31.77</v>
      </c>
      <c r="F56" s="11">
        <v>32.22</v>
      </c>
      <c r="G56" s="11">
        <v>32.3</v>
      </c>
      <c r="H56" s="11">
        <v>-0.08</v>
      </c>
      <c r="I56" s="11">
        <v>-0.2477</v>
      </c>
      <c r="J56" s="12">
        <v>47482.12</v>
      </c>
      <c r="K56" s="13">
        <v>152730.3</v>
      </c>
      <c r="L56" t="str">
        <f>'300571.SZ_元数据'!$B$5</f>
        <v>事件库1.csv + 股票日行情CSV</v>
      </c>
      <c r="M56" t="s">
        <v>104</v>
      </c>
      <c r="N56" s="3">
        <f>'300571.SZ_元数据'!$B$4</f>
        <v>45803</v>
      </c>
      <c r="O56">
        <f t="shared" si="0"/>
        <v>55</v>
      </c>
      <c r="P56">
        <f t="shared" si="1"/>
        <v>60</v>
      </c>
      <c r="Q56">
        <f t="shared" si="2"/>
        <v>-5</v>
      </c>
      <c r="R56" t="str">
        <f t="shared" si="3"/>
        <v>事件前100个交易日</v>
      </c>
    </row>
    <row r="57" spans="1:19">
      <c r="A57" t="s">
        <v>36</v>
      </c>
      <c r="B57" s="3">
        <v>45797</v>
      </c>
      <c r="C57" s="11">
        <v>32</v>
      </c>
      <c r="D57" s="11">
        <v>32.29</v>
      </c>
      <c r="E57" s="11">
        <v>31.58</v>
      </c>
      <c r="F57" s="11">
        <v>31.85</v>
      </c>
      <c r="G57" s="11">
        <v>32.22</v>
      </c>
      <c r="H57" s="11">
        <v>-0.37</v>
      </c>
      <c r="I57" s="11">
        <v>-1.1484</v>
      </c>
      <c r="J57" s="12">
        <v>51650.62</v>
      </c>
      <c r="K57" s="13">
        <v>164612.882</v>
      </c>
      <c r="L57" t="str">
        <f>'300571.SZ_元数据'!$B$5</f>
        <v>事件库1.csv + 股票日行情CSV</v>
      </c>
      <c r="M57" t="s">
        <v>104</v>
      </c>
      <c r="N57" s="3">
        <f>'300571.SZ_元数据'!$B$4</f>
        <v>45803</v>
      </c>
      <c r="O57">
        <f t="shared" si="0"/>
        <v>56</v>
      </c>
      <c r="P57">
        <f t="shared" si="1"/>
        <v>60</v>
      </c>
      <c r="Q57">
        <f t="shared" si="2"/>
        <v>-4</v>
      </c>
      <c r="R57" t="str">
        <f t="shared" si="3"/>
        <v>事件前100个交易日</v>
      </c>
    </row>
    <row r="58" spans="1:19">
      <c r="A58" t="s">
        <v>36</v>
      </c>
      <c r="B58" s="3">
        <v>45798</v>
      </c>
      <c r="C58" s="11">
        <v>31.72</v>
      </c>
      <c r="D58" s="11">
        <v>31.75</v>
      </c>
      <c r="E58" s="11">
        <v>30.91</v>
      </c>
      <c r="F58" s="11">
        <v>31.02</v>
      </c>
      <c r="G58" s="11">
        <v>31.85</v>
      </c>
      <c r="H58" s="11">
        <v>-0.83</v>
      </c>
      <c r="I58" s="11">
        <v>-2.606</v>
      </c>
      <c r="J58" s="12">
        <v>56478.4</v>
      </c>
      <c r="K58" s="13">
        <v>176360.562</v>
      </c>
      <c r="L58" t="str">
        <f>'300571.SZ_元数据'!$B$5</f>
        <v>事件库1.csv + 股票日行情CSV</v>
      </c>
      <c r="M58" t="s">
        <v>104</v>
      </c>
      <c r="N58" s="3">
        <f>'300571.SZ_元数据'!$B$4</f>
        <v>45803</v>
      </c>
      <c r="O58">
        <f t="shared" si="0"/>
        <v>57</v>
      </c>
      <c r="P58">
        <f t="shared" si="1"/>
        <v>60</v>
      </c>
      <c r="Q58">
        <f t="shared" si="2"/>
        <v>-3</v>
      </c>
      <c r="R58" t="str">
        <f t="shared" si="3"/>
        <v>事件前100个交易日</v>
      </c>
    </row>
    <row r="59" spans="1:19">
      <c r="A59" t="s">
        <v>36</v>
      </c>
      <c r="B59" s="3">
        <v>45799</v>
      </c>
      <c r="C59" s="11">
        <v>30.85</v>
      </c>
      <c r="D59" s="11">
        <v>31.39</v>
      </c>
      <c r="E59" s="11">
        <v>30.32</v>
      </c>
      <c r="F59" s="11">
        <v>30.7</v>
      </c>
      <c r="G59" s="11">
        <v>31.02</v>
      </c>
      <c r="H59" s="11">
        <v>-0.32</v>
      </c>
      <c r="I59" s="11">
        <v>-1.0316</v>
      </c>
      <c r="J59" s="12">
        <v>49577</v>
      </c>
      <c r="K59" s="13">
        <v>152826.465</v>
      </c>
      <c r="L59" t="str">
        <f>'300571.SZ_元数据'!$B$5</f>
        <v>事件库1.csv + 股票日行情CSV</v>
      </c>
      <c r="M59" t="s">
        <v>104</v>
      </c>
      <c r="N59" s="3">
        <f>'300571.SZ_元数据'!$B$4</f>
        <v>45803</v>
      </c>
      <c r="O59">
        <f t="shared" si="0"/>
        <v>58</v>
      </c>
      <c r="P59">
        <f t="shared" si="1"/>
        <v>60</v>
      </c>
      <c r="Q59">
        <f t="shared" si="2"/>
        <v>-2</v>
      </c>
      <c r="R59" t="str">
        <f t="shared" si="3"/>
        <v>事件前100个交易日</v>
      </c>
    </row>
    <row r="60" spans="1:19">
      <c r="A60" t="s">
        <v>36</v>
      </c>
      <c r="B60" s="3">
        <v>45800</v>
      </c>
      <c r="C60" s="11">
        <v>30.66</v>
      </c>
      <c r="D60" s="11">
        <v>30.79</v>
      </c>
      <c r="E60" s="11">
        <v>29.73</v>
      </c>
      <c r="F60" s="11">
        <v>29.77</v>
      </c>
      <c r="G60" s="11">
        <v>30.7</v>
      </c>
      <c r="H60" s="11">
        <v>-0.93</v>
      </c>
      <c r="I60" s="11">
        <v>-3.0293</v>
      </c>
      <c r="J60" s="12">
        <v>50668.36</v>
      </c>
      <c r="K60" s="13">
        <v>153008.554</v>
      </c>
      <c r="L60" t="str">
        <f>'300571.SZ_元数据'!$B$5</f>
        <v>事件库1.csv + 股票日行情CSV</v>
      </c>
      <c r="M60" t="s">
        <v>104</v>
      </c>
      <c r="N60" s="3">
        <f>'300571.SZ_元数据'!$B$4</f>
        <v>45803</v>
      </c>
      <c r="O60">
        <f t="shared" si="0"/>
        <v>59</v>
      </c>
      <c r="P60">
        <f t="shared" si="1"/>
        <v>60</v>
      </c>
      <c r="Q60">
        <f t="shared" si="2"/>
        <v>-1</v>
      </c>
      <c r="R60" t="str">
        <f t="shared" si="3"/>
        <v>事件前100个交易日</v>
      </c>
    </row>
    <row r="61" spans="1:19">
      <c r="A61" t="s">
        <v>36</v>
      </c>
      <c r="B61" s="3">
        <v>45803</v>
      </c>
      <c r="C61" s="11">
        <v>30.15</v>
      </c>
      <c r="D61" s="11">
        <v>30.65</v>
      </c>
      <c r="E61" s="11">
        <v>29.77</v>
      </c>
      <c r="F61" s="11">
        <v>30.5</v>
      </c>
      <c r="G61" s="11">
        <v>29.77</v>
      </c>
      <c r="H61" s="11">
        <v>0.73</v>
      </c>
      <c r="I61" s="11">
        <v>2.4521</v>
      </c>
      <c r="J61" s="12">
        <v>42921</v>
      </c>
      <c r="K61" s="13">
        <v>129940.132</v>
      </c>
      <c r="L61" t="str">
        <f>'300571.SZ_元数据'!$B$5</f>
        <v>事件库1.csv + 股票日行情CSV</v>
      </c>
      <c r="M61" t="s">
        <v>104</v>
      </c>
      <c r="N61" s="3">
        <f>'300571.SZ_元数据'!$B$4</f>
        <v>45803</v>
      </c>
      <c r="O61">
        <f t="shared" si="0"/>
        <v>60</v>
      </c>
      <c r="P61">
        <f t="shared" si="1"/>
        <v>60</v>
      </c>
      <c r="Q61">
        <f t="shared" si="2"/>
        <v>0</v>
      </c>
      <c r="R61" t="str">
        <f t="shared" si="3"/>
        <v>事件当日</v>
      </c>
      <c r="S61" t="s">
        <v>137</v>
      </c>
    </row>
    <row r="62" spans="1:19">
      <c r="A62" t="s">
        <v>36</v>
      </c>
      <c r="B62" s="3">
        <v>45804</v>
      </c>
      <c r="C62" s="11">
        <v>31.44</v>
      </c>
      <c r="D62" s="11">
        <v>31.8</v>
      </c>
      <c r="E62" s="11">
        <v>30.64</v>
      </c>
      <c r="F62" s="11">
        <v>30.76</v>
      </c>
      <c r="G62" s="11">
        <v>30.5</v>
      </c>
      <c r="H62" s="11">
        <v>0.26</v>
      </c>
      <c r="I62" s="11">
        <v>0.8525</v>
      </c>
      <c r="J62" s="12">
        <v>83419.63</v>
      </c>
      <c r="K62" s="13">
        <v>258388.446</v>
      </c>
      <c r="L62" t="str">
        <f>'300571.SZ_元数据'!$B$5</f>
        <v>事件库1.csv + 股票日行情CSV</v>
      </c>
      <c r="M62" t="s">
        <v>104</v>
      </c>
      <c r="N62" s="3">
        <f>'300571.SZ_元数据'!$B$4</f>
        <v>45803</v>
      </c>
      <c r="O62">
        <f t="shared" si="0"/>
        <v>61</v>
      </c>
      <c r="P62">
        <f t="shared" si="1"/>
        <v>60</v>
      </c>
      <c r="Q62">
        <f t="shared" si="2"/>
        <v>1</v>
      </c>
      <c r="R62" t="str">
        <f t="shared" si="3"/>
        <v>事件后5个交易日</v>
      </c>
    </row>
    <row r="63" spans="1:19">
      <c r="A63" t="s">
        <v>36</v>
      </c>
      <c r="B63" s="3">
        <v>45805</v>
      </c>
      <c r="C63" s="11">
        <v>30.89</v>
      </c>
      <c r="D63" s="11">
        <v>31.3</v>
      </c>
      <c r="E63" s="11">
        <v>29.89</v>
      </c>
      <c r="F63" s="11">
        <v>31.11</v>
      </c>
      <c r="G63" s="11">
        <v>30.76</v>
      </c>
      <c r="H63" s="11">
        <v>0.35</v>
      </c>
      <c r="I63" s="11">
        <v>1.1378</v>
      </c>
      <c r="J63" s="12">
        <v>75504</v>
      </c>
      <c r="K63" s="13">
        <v>232007.28</v>
      </c>
      <c r="L63" t="str">
        <f>'300571.SZ_元数据'!$B$5</f>
        <v>事件库1.csv + 股票日行情CSV</v>
      </c>
      <c r="M63" t="s">
        <v>104</v>
      </c>
      <c r="N63" s="3">
        <f>'300571.SZ_元数据'!$B$4</f>
        <v>45803</v>
      </c>
      <c r="O63">
        <f t="shared" si="0"/>
        <v>62</v>
      </c>
      <c r="P63">
        <f t="shared" si="1"/>
        <v>60</v>
      </c>
      <c r="Q63">
        <f t="shared" si="2"/>
        <v>2</v>
      </c>
      <c r="R63" t="str">
        <f t="shared" si="3"/>
        <v>事件后5个交易日</v>
      </c>
    </row>
    <row r="64" spans="1:19">
      <c r="A64" t="s">
        <v>36</v>
      </c>
      <c r="B64" s="3">
        <v>45806</v>
      </c>
      <c r="C64" s="11">
        <v>30.5</v>
      </c>
      <c r="D64" s="11">
        <v>31.47</v>
      </c>
      <c r="E64" s="11">
        <v>30.5</v>
      </c>
      <c r="F64" s="11">
        <v>31.39</v>
      </c>
      <c r="G64" s="11">
        <v>31.11</v>
      </c>
      <c r="H64" s="11">
        <v>0.28</v>
      </c>
      <c r="I64" s="11">
        <v>0.9</v>
      </c>
      <c r="J64" s="12">
        <v>71312.85</v>
      </c>
      <c r="K64" s="13">
        <v>222048.13</v>
      </c>
      <c r="L64" t="str">
        <f>'300571.SZ_元数据'!$B$5</f>
        <v>事件库1.csv + 股票日行情CSV</v>
      </c>
      <c r="M64" t="s">
        <v>104</v>
      </c>
      <c r="N64" s="3">
        <f>'300571.SZ_元数据'!$B$4</f>
        <v>45803</v>
      </c>
      <c r="O64">
        <f t="shared" si="0"/>
        <v>63</v>
      </c>
      <c r="P64">
        <f t="shared" si="1"/>
        <v>60</v>
      </c>
      <c r="Q64">
        <f t="shared" si="2"/>
        <v>3</v>
      </c>
      <c r="R64" t="str">
        <f t="shared" si="3"/>
        <v>事件后5个交易日</v>
      </c>
    </row>
    <row r="65" spans="1:18">
      <c r="A65" t="s">
        <v>36</v>
      </c>
      <c r="B65" s="3">
        <v>45807</v>
      </c>
      <c r="C65" s="11">
        <v>31.07</v>
      </c>
      <c r="D65" s="11">
        <v>31.27</v>
      </c>
      <c r="E65" s="11">
        <v>29.91</v>
      </c>
      <c r="F65" s="11">
        <v>30.05</v>
      </c>
      <c r="G65" s="11">
        <v>31.39</v>
      </c>
      <c r="H65" s="11">
        <v>-1.34</v>
      </c>
      <c r="I65" s="11">
        <v>-4.2689</v>
      </c>
      <c r="J65" s="12">
        <v>58120.99</v>
      </c>
      <c r="K65" s="13">
        <v>176436.064</v>
      </c>
      <c r="L65" t="str">
        <f>'300571.SZ_元数据'!$B$5</f>
        <v>事件库1.csv + 股票日行情CSV</v>
      </c>
      <c r="M65" t="s">
        <v>104</v>
      </c>
      <c r="N65" s="3">
        <f>'300571.SZ_元数据'!$B$4</f>
        <v>45803</v>
      </c>
      <c r="O65">
        <f t="shared" si="0"/>
        <v>64</v>
      </c>
      <c r="P65">
        <f t="shared" si="1"/>
        <v>60</v>
      </c>
      <c r="Q65">
        <f t="shared" si="2"/>
        <v>4</v>
      </c>
      <c r="R65" t="str">
        <f t="shared" si="3"/>
        <v>事件后5个交易日</v>
      </c>
    </row>
  </sheetData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38</v>
      </c>
    </row>
    <row r="3" spans="1:2">
      <c r="A3" s="5" t="s">
        <v>75</v>
      </c>
      <c r="B3" s="8" t="s">
        <v>39</v>
      </c>
    </row>
    <row r="4" spans="1:2">
      <c r="A4" s="5" t="s">
        <v>2</v>
      </c>
      <c r="B4" s="7">
        <v>45063</v>
      </c>
    </row>
    <row r="5" spans="1:2">
      <c r="A5" s="5" t="s">
        <v>76</v>
      </c>
      <c r="B5" s="8" t="s">
        <v>115</v>
      </c>
    </row>
    <row r="6" spans="1:2">
      <c r="A6" s="5" t="s">
        <v>78</v>
      </c>
      <c r="B6" s="8" t="s">
        <v>116</v>
      </c>
    </row>
    <row r="7" spans="1:2">
      <c r="A7" s="5" t="s">
        <v>84</v>
      </c>
      <c r="B7" t="s">
        <v>117</v>
      </c>
    </row>
    <row r="8" spans="1:2">
      <c r="A8" s="5" t="s">
        <v>118</v>
      </c>
      <c r="B8" s="3">
        <v>45063</v>
      </c>
    </row>
    <row r="9" spans="1:2">
      <c r="A9" s="5" t="s">
        <v>1</v>
      </c>
      <c r="B9">
        <v>36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35</v>
      </c>
    </row>
    <row r="12" ht="29" customHeight="1" spans="1:2">
      <c r="A12" s="5" t="s">
        <v>80</v>
      </c>
      <c r="B12" s="14" t="s">
        <v>138</v>
      </c>
    </row>
    <row r="13" spans="1:2">
      <c r="A13" s="5" t="s">
        <v>120</v>
      </c>
      <c r="B13" t="s">
        <v>121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38</v>
      </c>
      <c r="B2" s="3">
        <v>44974</v>
      </c>
      <c r="C2" s="11">
        <v>23.22</v>
      </c>
      <c r="D2" s="11">
        <v>23.49</v>
      </c>
      <c r="E2" s="11">
        <v>21.86</v>
      </c>
      <c r="F2" s="11">
        <v>22</v>
      </c>
      <c r="G2" s="11">
        <v>23.2</v>
      </c>
      <c r="H2" s="11">
        <v>-1.2</v>
      </c>
      <c r="I2" s="11">
        <v>-5.1724</v>
      </c>
      <c r="J2" s="12">
        <v>149893.17</v>
      </c>
      <c r="K2" s="13">
        <v>335403.762</v>
      </c>
      <c r="L2" t="str">
        <f>'300638.SZ_元数据'!$B$5</f>
        <v>事件库1.csv + 股票日行情CSV</v>
      </c>
      <c r="M2" t="s">
        <v>104</v>
      </c>
      <c r="N2" s="3">
        <f>'300638.SZ_元数据'!$B$4</f>
        <v>45063</v>
      </c>
      <c r="O2">
        <f t="shared" ref="O2:O64" si="0">ROW()-1</f>
        <v>1</v>
      </c>
      <c r="P2">
        <f t="shared" ref="P2:P64" si="1">IFERROR(MATCH($N2,$B$2:$B$64,0),"")</f>
        <v>60</v>
      </c>
      <c r="Q2">
        <f t="shared" ref="Q2:Q64" si="2">IF(OR($P2="",$O2=""),"",$O2-$P2)</f>
        <v>-59</v>
      </c>
      <c r="R2" t="str">
        <f t="shared" ref="R2:R64" si="3">IF($Q2="","",IF(AND($Q2&gt;=-100,$Q2&lt;=-1),"事件前100个交易日",IF(AND($Q2&gt;=1,$Q2&lt;=5),"事件后5个交易日",IF($Q2=0,"事件当日","其他区间"))))</f>
        <v>事件前100个交易日</v>
      </c>
    </row>
    <row r="3" spans="1:19">
      <c r="A3" t="s">
        <v>38</v>
      </c>
      <c r="B3" s="3">
        <v>44977</v>
      </c>
      <c r="C3" s="11">
        <v>22.14</v>
      </c>
      <c r="D3" s="11">
        <v>22.88</v>
      </c>
      <c r="E3" s="11">
        <v>21.63</v>
      </c>
      <c r="F3" s="11">
        <v>22.65</v>
      </c>
      <c r="G3" s="11">
        <v>22</v>
      </c>
      <c r="H3" s="11">
        <v>0.65</v>
      </c>
      <c r="I3" s="11">
        <v>2.9545</v>
      </c>
      <c r="J3" s="12">
        <v>94186.03</v>
      </c>
      <c r="K3" s="13">
        <v>211146.41</v>
      </c>
      <c r="L3" t="str">
        <f>'300638.SZ_元数据'!$B$5</f>
        <v>事件库1.csv + 股票日行情CSV</v>
      </c>
      <c r="M3" t="s">
        <v>104</v>
      </c>
      <c r="N3" s="3">
        <f>'300638.SZ_元数据'!$B$4</f>
        <v>45063</v>
      </c>
      <c r="O3">
        <f t="shared" si="0"/>
        <v>2</v>
      </c>
      <c r="P3">
        <f t="shared" si="1"/>
        <v>60</v>
      </c>
      <c r="Q3">
        <f t="shared" si="2"/>
        <v>-58</v>
      </c>
      <c r="R3" t="str">
        <f t="shared" si="3"/>
        <v>事件前100个交易日</v>
      </c>
    </row>
    <row r="4" spans="1:19">
      <c r="A4" t="s">
        <v>38</v>
      </c>
      <c r="B4" s="3">
        <v>44978</v>
      </c>
      <c r="C4" s="11">
        <v>22.9</v>
      </c>
      <c r="D4" s="11">
        <v>23.27</v>
      </c>
      <c r="E4" s="11">
        <v>22.46</v>
      </c>
      <c r="F4" s="11">
        <v>22.71</v>
      </c>
      <c r="G4" s="11">
        <v>22.65</v>
      </c>
      <c r="H4" s="11">
        <v>0.06</v>
      </c>
      <c r="I4" s="11">
        <v>0.2649</v>
      </c>
      <c r="J4" s="12">
        <v>67562.53</v>
      </c>
      <c r="K4" s="13">
        <v>154159.627</v>
      </c>
      <c r="L4" t="str">
        <f>'300638.SZ_元数据'!$B$5</f>
        <v>事件库1.csv + 股票日行情CSV</v>
      </c>
      <c r="M4" t="s">
        <v>104</v>
      </c>
      <c r="N4" s="3">
        <f>'300638.SZ_元数据'!$B$4</f>
        <v>45063</v>
      </c>
      <c r="O4">
        <f t="shared" si="0"/>
        <v>3</v>
      </c>
      <c r="P4">
        <f t="shared" si="1"/>
        <v>60</v>
      </c>
      <c r="Q4">
        <f t="shared" si="2"/>
        <v>-57</v>
      </c>
      <c r="R4" t="str">
        <f t="shared" si="3"/>
        <v>事件前100个交易日</v>
      </c>
    </row>
    <row r="5" spans="1:19">
      <c r="A5" t="s">
        <v>38</v>
      </c>
      <c r="B5" s="3">
        <v>44979</v>
      </c>
      <c r="C5" s="11">
        <v>22.44</v>
      </c>
      <c r="D5" s="11">
        <v>22.61</v>
      </c>
      <c r="E5" s="11">
        <v>22</v>
      </c>
      <c r="F5" s="11">
        <v>22.24</v>
      </c>
      <c r="G5" s="11">
        <v>22.71</v>
      </c>
      <c r="H5" s="11">
        <v>-0.47</v>
      </c>
      <c r="I5" s="11">
        <v>-2.0696</v>
      </c>
      <c r="J5" s="12">
        <v>64654.8</v>
      </c>
      <c r="K5" s="13">
        <v>143772.241</v>
      </c>
      <c r="L5" t="str">
        <f>'300638.SZ_元数据'!$B$5</f>
        <v>事件库1.csv + 股票日行情CSV</v>
      </c>
      <c r="M5" t="s">
        <v>104</v>
      </c>
      <c r="N5" s="3">
        <f>'300638.SZ_元数据'!$B$4</f>
        <v>45063</v>
      </c>
      <c r="O5">
        <f t="shared" si="0"/>
        <v>4</v>
      </c>
      <c r="P5">
        <f t="shared" si="1"/>
        <v>60</v>
      </c>
      <c r="Q5">
        <f t="shared" si="2"/>
        <v>-56</v>
      </c>
      <c r="R5" t="str">
        <f t="shared" si="3"/>
        <v>事件前100个交易日</v>
      </c>
    </row>
    <row r="6" spans="1:19">
      <c r="A6" t="s">
        <v>38</v>
      </c>
      <c r="B6" s="3">
        <v>44980</v>
      </c>
      <c r="C6" s="11">
        <v>22.37</v>
      </c>
      <c r="D6" s="11">
        <v>22.37</v>
      </c>
      <c r="E6" s="11">
        <v>21.58</v>
      </c>
      <c r="F6" s="11">
        <v>21.69</v>
      </c>
      <c r="G6" s="11">
        <v>22.24</v>
      </c>
      <c r="H6" s="11">
        <v>-0.55</v>
      </c>
      <c r="I6" s="11">
        <v>-2.473</v>
      </c>
      <c r="J6" s="12">
        <v>62734.37</v>
      </c>
      <c r="K6" s="13">
        <v>137179.913</v>
      </c>
      <c r="L6" t="str">
        <f>'300638.SZ_元数据'!$B$5</f>
        <v>事件库1.csv + 股票日行情CSV</v>
      </c>
      <c r="M6" t="s">
        <v>104</v>
      </c>
      <c r="N6" s="3">
        <f>'300638.SZ_元数据'!$B$4</f>
        <v>45063</v>
      </c>
      <c r="O6">
        <f t="shared" si="0"/>
        <v>5</v>
      </c>
      <c r="P6">
        <f t="shared" si="1"/>
        <v>60</v>
      </c>
      <c r="Q6">
        <f t="shared" si="2"/>
        <v>-55</v>
      </c>
      <c r="R6" t="str">
        <f t="shared" si="3"/>
        <v>事件前100个交易日</v>
      </c>
    </row>
    <row r="7" spans="1:19">
      <c r="A7" t="s">
        <v>38</v>
      </c>
      <c r="B7" s="3">
        <v>44981</v>
      </c>
      <c r="C7" s="11">
        <v>21.8</v>
      </c>
      <c r="D7" s="11">
        <v>22.18</v>
      </c>
      <c r="E7" s="11">
        <v>21.6</v>
      </c>
      <c r="F7" s="11">
        <v>21.69</v>
      </c>
      <c r="G7" s="11">
        <v>21.69</v>
      </c>
      <c r="H7" s="11">
        <v>0</v>
      </c>
      <c r="I7" s="11">
        <v>0</v>
      </c>
      <c r="J7" s="12">
        <v>45374.59</v>
      </c>
      <c r="K7" s="13">
        <v>98971.446</v>
      </c>
      <c r="L7" t="str">
        <f>'300638.SZ_元数据'!$B$5</f>
        <v>事件库1.csv + 股票日行情CSV</v>
      </c>
      <c r="M7" t="s">
        <v>104</v>
      </c>
      <c r="N7" s="3">
        <f>'300638.SZ_元数据'!$B$4</f>
        <v>45063</v>
      </c>
      <c r="O7">
        <f t="shared" si="0"/>
        <v>6</v>
      </c>
      <c r="P7">
        <f t="shared" si="1"/>
        <v>60</v>
      </c>
      <c r="Q7">
        <f t="shared" si="2"/>
        <v>-54</v>
      </c>
      <c r="R7" t="str">
        <f t="shared" si="3"/>
        <v>事件前100个交易日</v>
      </c>
    </row>
    <row r="8" spans="1:19">
      <c r="A8" t="s">
        <v>38</v>
      </c>
      <c r="B8" s="3">
        <v>44984</v>
      </c>
      <c r="C8" s="11">
        <v>21.51</v>
      </c>
      <c r="D8" s="11">
        <v>21.62</v>
      </c>
      <c r="E8" s="11">
        <v>20.95</v>
      </c>
      <c r="F8" s="11">
        <v>21.05</v>
      </c>
      <c r="G8" s="11">
        <v>21.69</v>
      </c>
      <c r="H8" s="11">
        <v>-0.64</v>
      </c>
      <c r="I8" s="11">
        <v>-2.9507</v>
      </c>
      <c r="J8" s="12">
        <v>72683.68</v>
      </c>
      <c r="K8" s="13">
        <v>153945.964</v>
      </c>
      <c r="L8" t="str">
        <f>'300638.SZ_元数据'!$B$5</f>
        <v>事件库1.csv + 股票日行情CSV</v>
      </c>
      <c r="M8" t="s">
        <v>104</v>
      </c>
      <c r="N8" s="3">
        <f>'300638.SZ_元数据'!$B$4</f>
        <v>45063</v>
      </c>
      <c r="O8">
        <f t="shared" si="0"/>
        <v>7</v>
      </c>
      <c r="P8">
        <f t="shared" si="1"/>
        <v>60</v>
      </c>
      <c r="Q8">
        <f t="shared" si="2"/>
        <v>-53</v>
      </c>
      <c r="R8" t="str">
        <f t="shared" si="3"/>
        <v>事件前100个交易日</v>
      </c>
    </row>
    <row r="9" spans="1:19">
      <c r="A9" t="s">
        <v>38</v>
      </c>
      <c r="B9" s="3">
        <v>44985</v>
      </c>
      <c r="C9" s="11">
        <v>21.45</v>
      </c>
      <c r="D9" s="11">
        <v>21.8</v>
      </c>
      <c r="E9" s="11">
        <v>21.17</v>
      </c>
      <c r="F9" s="11">
        <v>21.49</v>
      </c>
      <c r="G9" s="11">
        <v>21.05</v>
      </c>
      <c r="H9" s="11">
        <v>0.44</v>
      </c>
      <c r="I9" s="11">
        <v>2.0903</v>
      </c>
      <c r="J9" s="12">
        <v>56654.66</v>
      </c>
      <c r="K9" s="13">
        <v>121628.619</v>
      </c>
      <c r="L9" t="str">
        <f>'300638.SZ_元数据'!$B$5</f>
        <v>事件库1.csv + 股票日行情CSV</v>
      </c>
      <c r="M9" t="s">
        <v>104</v>
      </c>
      <c r="N9" s="3">
        <f>'300638.SZ_元数据'!$B$4</f>
        <v>45063</v>
      </c>
      <c r="O9">
        <f t="shared" si="0"/>
        <v>8</v>
      </c>
      <c r="P9">
        <f t="shared" si="1"/>
        <v>60</v>
      </c>
      <c r="Q9">
        <f t="shared" si="2"/>
        <v>-52</v>
      </c>
      <c r="R9" t="str">
        <f t="shared" si="3"/>
        <v>事件前100个交易日</v>
      </c>
    </row>
    <row r="10" spans="1:19">
      <c r="A10" t="s">
        <v>38</v>
      </c>
      <c r="B10" s="3">
        <v>44986</v>
      </c>
      <c r="C10" s="11">
        <v>21.46</v>
      </c>
      <c r="D10" s="11">
        <v>23.02</v>
      </c>
      <c r="E10" s="11">
        <v>21.35</v>
      </c>
      <c r="F10" s="11">
        <v>22.74</v>
      </c>
      <c r="G10" s="11">
        <v>21.49</v>
      </c>
      <c r="H10" s="11">
        <v>1.25</v>
      </c>
      <c r="I10" s="11">
        <v>5.8167</v>
      </c>
      <c r="J10" s="12">
        <v>129180.5</v>
      </c>
      <c r="K10" s="13">
        <v>290397.636</v>
      </c>
      <c r="L10" t="str">
        <f>'300638.SZ_元数据'!$B$5</f>
        <v>事件库1.csv + 股票日行情CSV</v>
      </c>
      <c r="M10" t="s">
        <v>104</v>
      </c>
      <c r="N10" s="3">
        <f>'300638.SZ_元数据'!$B$4</f>
        <v>45063</v>
      </c>
      <c r="O10">
        <f t="shared" si="0"/>
        <v>9</v>
      </c>
      <c r="P10">
        <f t="shared" si="1"/>
        <v>60</v>
      </c>
      <c r="Q10">
        <f t="shared" si="2"/>
        <v>-51</v>
      </c>
      <c r="R10" t="str">
        <f t="shared" si="3"/>
        <v>事件前100个交易日</v>
      </c>
    </row>
    <row r="11" spans="1:19">
      <c r="A11" t="s">
        <v>38</v>
      </c>
      <c r="B11" s="3">
        <v>44987</v>
      </c>
      <c r="C11" s="11">
        <v>23.23</v>
      </c>
      <c r="D11" s="11">
        <v>24.16</v>
      </c>
      <c r="E11" s="11">
        <v>23.04</v>
      </c>
      <c r="F11" s="11">
        <v>23.3</v>
      </c>
      <c r="G11" s="11">
        <v>22.74</v>
      </c>
      <c r="H11" s="11">
        <v>0.56</v>
      </c>
      <c r="I11" s="11">
        <v>2.4626</v>
      </c>
      <c r="J11" s="12">
        <v>157023.51</v>
      </c>
      <c r="K11" s="13">
        <v>368227.275</v>
      </c>
      <c r="L11" t="str">
        <f>'300638.SZ_元数据'!$B$5</f>
        <v>事件库1.csv + 股票日行情CSV</v>
      </c>
      <c r="M11" t="s">
        <v>104</v>
      </c>
      <c r="N11" s="3">
        <f>'300638.SZ_元数据'!$B$4</f>
        <v>45063</v>
      </c>
      <c r="O11">
        <f t="shared" si="0"/>
        <v>10</v>
      </c>
      <c r="P11">
        <f t="shared" si="1"/>
        <v>60</v>
      </c>
      <c r="Q11">
        <f t="shared" si="2"/>
        <v>-50</v>
      </c>
      <c r="R11" t="str">
        <f t="shared" si="3"/>
        <v>事件前100个交易日</v>
      </c>
    </row>
    <row r="12" spans="1:19">
      <c r="A12" t="s">
        <v>38</v>
      </c>
      <c r="B12" s="3">
        <v>44988</v>
      </c>
      <c r="C12" s="11">
        <v>23.01</v>
      </c>
      <c r="D12" s="11">
        <v>23.15</v>
      </c>
      <c r="E12" s="11">
        <v>22.17</v>
      </c>
      <c r="F12" s="11">
        <v>22.62</v>
      </c>
      <c r="G12" s="11">
        <v>23.3</v>
      </c>
      <c r="H12" s="11">
        <v>-0.68</v>
      </c>
      <c r="I12" s="11">
        <v>-2.9185</v>
      </c>
      <c r="J12" s="12">
        <v>134082.22</v>
      </c>
      <c r="K12" s="13">
        <v>303874.779</v>
      </c>
      <c r="L12" t="str">
        <f>'300638.SZ_元数据'!$B$5</f>
        <v>事件库1.csv + 股票日行情CSV</v>
      </c>
      <c r="M12" t="s">
        <v>104</v>
      </c>
      <c r="N12" s="3">
        <f>'300638.SZ_元数据'!$B$4</f>
        <v>45063</v>
      </c>
      <c r="O12">
        <f t="shared" si="0"/>
        <v>11</v>
      </c>
      <c r="P12">
        <f t="shared" si="1"/>
        <v>60</v>
      </c>
      <c r="Q12">
        <f t="shared" si="2"/>
        <v>-49</v>
      </c>
      <c r="R12" t="str">
        <f t="shared" si="3"/>
        <v>事件前100个交易日</v>
      </c>
    </row>
    <row r="13" spans="1:19">
      <c r="A13" t="s">
        <v>38</v>
      </c>
      <c r="B13" s="3">
        <v>44991</v>
      </c>
      <c r="C13" s="11">
        <v>22.78</v>
      </c>
      <c r="D13" s="11">
        <v>22.99</v>
      </c>
      <c r="E13" s="11">
        <v>22.2</v>
      </c>
      <c r="F13" s="11">
        <v>22.26</v>
      </c>
      <c r="G13" s="11">
        <v>22.62</v>
      </c>
      <c r="H13" s="11">
        <v>-0.36</v>
      </c>
      <c r="I13" s="11">
        <v>-1.5915</v>
      </c>
      <c r="J13" s="12">
        <v>82476.52</v>
      </c>
      <c r="K13" s="13">
        <v>186366.284</v>
      </c>
      <c r="L13" t="str">
        <f>'300638.SZ_元数据'!$B$5</f>
        <v>事件库1.csv + 股票日行情CSV</v>
      </c>
      <c r="M13" t="s">
        <v>104</v>
      </c>
      <c r="N13" s="3">
        <f>'300638.SZ_元数据'!$B$4</f>
        <v>45063</v>
      </c>
      <c r="O13">
        <f t="shared" si="0"/>
        <v>12</v>
      </c>
      <c r="P13">
        <f t="shared" si="1"/>
        <v>60</v>
      </c>
      <c r="Q13">
        <f t="shared" si="2"/>
        <v>-48</v>
      </c>
      <c r="R13" t="str">
        <f t="shared" si="3"/>
        <v>事件前100个交易日</v>
      </c>
    </row>
    <row r="14" spans="1:19">
      <c r="A14" t="s">
        <v>38</v>
      </c>
      <c r="B14" s="3">
        <v>44992</v>
      </c>
      <c r="C14" s="11">
        <v>22.27</v>
      </c>
      <c r="D14" s="11">
        <v>22.27</v>
      </c>
      <c r="E14" s="11">
        <v>20.83</v>
      </c>
      <c r="F14" s="11">
        <v>20.98</v>
      </c>
      <c r="G14" s="11">
        <v>22.26</v>
      </c>
      <c r="H14" s="11">
        <v>-1.28</v>
      </c>
      <c r="I14" s="11">
        <v>-5.7502</v>
      </c>
      <c r="J14" s="12">
        <v>152854.3</v>
      </c>
      <c r="K14" s="13">
        <v>324969.066</v>
      </c>
      <c r="L14" t="str">
        <f>'300638.SZ_元数据'!$B$5</f>
        <v>事件库1.csv + 股票日行情CSV</v>
      </c>
      <c r="M14" t="s">
        <v>104</v>
      </c>
      <c r="N14" s="3">
        <f>'300638.SZ_元数据'!$B$4</f>
        <v>45063</v>
      </c>
      <c r="O14">
        <f t="shared" si="0"/>
        <v>13</v>
      </c>
      <c r="P14">
        <f t="shared" si="1"/>
        <v>60</v>
      </c>
      <c r="Q14">
        <f t="shared" si="2"/>
        <v>-47</v>
      </c>
      <c r="R14" t="str">
        <f t="shared" si="3"/>
        <v>事件前100个交易日</v>
      </c>
    </row>
    <row r="15" spans="1:19">
      <c r="A15" t="s">
        <v>38</v>
      </c>
      <c r="B15" s="3">
        <v>44993</v>
      </c>
      <c r="C15" s="11">
        <v>21.29</v>
      </c>
      <c r="D15" s="11">
        <v>21.53</v>
      </c>
      <c r="E15" s="11">
        <v>20.92</v>
      </c>
      <c r="F15" s="11">
        <v>21.42</v>
      </c>
      <c r="G15" s="11">
        <v>20.98</v>
      </c>
      <c r="H15" s="11">
        <v>0.44</v>
      </c>
      <c r="I15" s="11">
        <v>2.0972</v>
      </c>
      <c r="J15" s="12">
        <v>63323.96</v>
      </c>
      <c r="K15" s="13">
        <v>134978.659</v>
      </c>
      <c r="L15" t="str">
        <f>'300638.SZ_元数据'!$B$5</f>
        <v>事件库1.csv + 股票日行情CSV</v>
      </c>
      <c r="M15" t="s">
        <v>104</v>
      </c>
      <c r="N15" s="3">
        <f>'300638.SZ_元数据'!$B$4</f>
        <v>45063</v>
      </c>
      <c r="O15">
        <f t="shared" si="0"/>
        <v>14</v>
      </c>
      <c r="P15">
        <f t="shared" si="1"/>
        <v>60</v>
      </c>
      <c r="Q15">
        <f t="shared" si="2"/>
        <v>-46</v>
      </c>
      <c r="R15" t="str">
        <f t="shared" si="3"/>
        <v>事件前100个交易日</v>
      </c>
    </row>
    <row r="16" spans="1:19">
      <c r="A16" t="s">
        <v>38</v>
      </c>
      <c r="B16" s="3">
        <v>44994</v>
      </c>
      <c r="C16" s="11">
        <v>21.32</v>
      </c>
      <c r="D16" s="11">
        <v>21.96</v>
      </c>
      <c r="E16" s="11">
        <v>21.08</v>
      </c>
      <c r="F16" s="11">
        <v>21.75</v>
      </c>
      <c r="G16" s="11">
        <v>21.42</v>
      </c>
      <c r="H16" s="11">
        <v>0.33</v>
      </c>
      <c r="I16" s="11">
        <v>1.5406</v>
      </c>
      <c r="J16" s="12">
        <v>76902.97</v>
      </c>
      <c r="K16" s="13">
        <v>165680.82</v>
      </c>
      <c r="L16" t="str">
        <f>'300638.SZ_元数据'!$B$5</f>
        <v>事件库1.csv + 股票日行情CSV</v>
      </c>
      <c r="M16" t="s">
        <v>104</v>
      </c>
      <c r="N16" s="3">
        <f>'300638.SZ_元数据'!$B$4</f>
        <v>45063</v>
      </c>
      <c r="O16">
        <f t="shared" si="0"/>
        <v>15</v>
      </c>
      <c r="P16">
        <f t="shared" si="1"/>
        <v>60</v>
      </c>
      <c r="Q16">
        <f t="shared" si="2"/>
        <v>-45</v>
      </c>
      <c r="R16" t="str">
        <f t="shared" si="3"/>
        <v>事件前100个交易日</v>
      </c>
    </row>
    <row r="17" spans="1:18">
      <c r="A17" t="s">
        <v>38</v>
      </c>
      <c r="B17" s="3">
        <v>44995</v>
      </c>
      <c r="C17" s="11">
        <v>21.49</v>
      </c>
      <c r="D17" s="11">
        <v>21.71</v>
      </c>
      <c r="E17" s="11">
        <v>20.95</v>
      </c>
      <c r="F17" s="11">
        <v>21.02</v>
      </c>
      <c r="G17" s="11">
        <v>21.75</v>
      </c>
      <c r="H17" s="11">
        <v>-0.73</v>
      </c>
      <c r="I17" s="11">
        <v>-3.3563</v>
      </c>
      <c r="J17" s="12">
        <v>69630.03</v>
      </c>
      <c r="K17" s="13">
        <v>147632.303</v>
      </c>
      <c r="L17" t="str">
        <f>'300638.SZ_元数据'!$B$5</f>
        <v>事件库1.csv + 股票日行情CSV</v>
      </c>
      <c r="M17" t="s">
        <v>104</v>
      </c>
      <c r="N17" s="3">
        <f>'300638.SZ_元数据'!$B$4</f>
        <v>45063</v>
      </c>
      <c r="O17">
        <f t="shared" si="0"/>
        <v>16</v>
      </c>
      <c r="P17">
        <f t="shared" si="1"/>
        <v>60</v>
      </c>
      <c r="Q17">
        <f t="shared" si="2"/>
        <v>-44</v>
      </c>
      <c r="R17" t="str">
        <f t="shared" si="3"/>
        <v>事件前100个交易日</v>
      </c>
    </row>
    <row r="18" spans="1:18">
      <c r="A18" t="s">
        <v>38</v>
      </c>
      <c r="B18" s="3">
        <v>44998</v>
      </c>
      <c r="C18" s="11">
        <v>20.84</v>
      </c>
      <c r="D18" s="11">
        <v>21.2</v>
      </c>
      <c r="E18" s="11">
        <v>20.54</v>
      </c>
      <c r="F18" s="11">
        <v>21.15</v>
      </c>
      <c r="G18" s="11">
        <v>21.02</v>
      </c>
      <c r="H18" s="11">
        <v>0.13</v>
      </c>
      <c r="I18" s="11">
        <v>0.6185</v>
      </c>
      <c r="J18" s="12">
        <v>74001.7</v>
      </c>
      <c r="K18" s="13">
        <v>154542.951</v>
      </c>
      <c r="L18" t="str">
        <f>'300638.SZ_元数据'!$B$5</f>
        <v>事件库1.csv + 股票日行情CSV</v>
      </c>
      <c r="M18" t="s">
        <v>104</v>
      </c>
      <c r="N18" s="3">
        <f>'300638.SZ_元数据'!$B$4</f>
        <v>45063</v>
      </c>
      <c r="O18">
        <f t="shared" si="0"/>
        <v>17</v>
      </c>
      <c r="P18">
        <f t="shared" si="1"/>
        <v>60</v>
      </c>
      <c r="Q18">
        <f t="shared" si="2"/>
        <v>-43</v>
      </c>
      <c r="R18" t="str">
        <f t="shared" si="3"/>
        <v>事件前100个交易日</v>
      </c>
    </row>
    <row r="19" spans="1:18">
      <c r="A19" t="s">
        <v>38</v>
      </c>
      <c r="B19" s="3">
        <v>44999</v>
      </c>
      <c r="C19" s="11">
        <v>21.15</v>
      </c>
      <c r="D19" s="11">
        <v>21.15</v>
      </c>
      <c r="E19" s="11">
        <v>20.32</v>
      </c>
      <c r="F19" s="11">
        <v>20.9</v>
      </c>
      <c r="G19" s="11">
        <v>21.15</v>
      </c>
      <c r="H19" s="11">
        <v>-0.25</v>
      </c>
      <c r="I19" s="11">
        <v>-1.182</v>
      </c>
      <c r="J19" s="12">
        <v>58124.47</v>
      </c>
      <c r="K19" s="13">
        <v>120945.406</v>
      </c>
      <c r="L19" t="str">
        <f>'300638.SZ_元数据'!$B$5</f>
        <v>事件库1.csv + 股票日行情CSV</v>
      </c>
      <c r="M19" t="s">
        <v>104</v>
      </c>
      <c r="N19" s="3">
        <f>'300638.SZ_元数据'!$B$4</f>
        <v>45063</v>
      </c>
      <c r="O19">
        <f t="shared" si="0"/>
        <v>18</v>
      </c>
      <c r="P19">
        <f t="shared" si="1"/>
        <v>60</v>
      </c>
      <c r="Q19">
        <f t="shared" si="2"/>
        <v>-42</v>
      </c>
      <c r="R19" t="str">
        <f t="shared" si="3"/>
        <v>事件前100个交易日</v>
      </c>
    </row>
    <row r="20" spans="1:18">
      <c r="A20" t="s">
        <v>38</v>
      </c>
      <c r="B20" s="3">
        <v>45000</v>
      </c>
      <c r="C20" s="11">
        <v>21.05</v>
      </c>
      <c r="D20" s="11">
        <v>21.14</v>
      </c>
      <c r="E20" s="11">
        <v>20.46</v>
      </c>
      <c r="F20" s="11">
        <v>20.59</v>
      </c>
      <c r="G20" s="11">
        <v>20.9</v>
      </c>
      <c r="H20" s="11">
        <v>-0.31</v>
      </c>
      <c r="I20" s="11">
        <v>-1.4833</v>
      </c>
      <c r="J20" s="12">
        <v>49217.39</v>
      </c>
      <c r="K20" s="13">
        <v>102275.777</v>
      </c>
      <c r="L20" t="str">
        <f>'300638.SZ_元数据'!$B$5</f>
        <v>事件库1.csv + 股票日行情CSV</v>
      </c>
      <c r="M20" t="s">
        <v>104</v>
      </c>
      <c r="N20" s="3">
        <f>'300638.SZ_元数据'!$B$4</f>
        <v>45063</v>
      </c>
      <c r="O20">
        <f t="shared" si="0"/>
        <v>19</v>
      </c>
      <c r="P20">
        <f t="shared" si="1"/>
        <v>60</v>
      </c>
      <c r="Q20">
        <f t="shared" si="2"/>
        <v>-41</v>
      </c>
      <c r="R20" t="str">
        <f t="shared" si="3"/>
        <v>事件前100个交易日</v>
      </c>
    </row>
    <row r="21" spans="1:18">
      <c r="A21" t="s">
        <v>38</v>
      </c>
      <c r="B21" s="3">
        <v>45001</v>
      </c>
      <c r="C21" s="11">
        <v>20.41</v>
      </c>
      <c r="D21" s="11">
        <v>20.68</v>
      </c>
      <c r="E21" s="11">
        <v>19.75</v>
      </c>
      <c r="F21" s="11">
        <v>19.75</v>
      </c>
      <c r="G21" s="11">
        <v>20.59</v>
      </c>
      <c r="H21" s="11">
        <v>-0.84</v>
      </c>
      <c r="I21" s="11">
        <v>-4.0797</v>
      </c>
      <c r="J21" s="12">
        <v>71805.35</v>
      </c>
      <c r="K21" s="13">
        <v>143952.655</v>
      </c>
      <c r="L21" t="str">
        <f>'300638.SZ_元数据'!$B$5</f>
        <v>事件库1.csv + 股票日行情CSV</v>
      </c>
      <c r="M21" t="s">
        <v>104</v>
      </c>
      <c r="N21" s="3">
        <f>'300638.SZ_元数据'!$B$4</f>
        <v>45063</v>
      </c>
      <c r="O21">
        <f t="shared" si="0"/>
        <v>20</v>
      </c>
      <c r="P21">
        <f t="shared" si="1"/>
        <v>60</v>
      </c>
      <c r="Q21">
        <f t="shared" si="2"/>
        <v>-40</v>
      </c>
      <c r="R21" t="str">
        <f t="shared" si="3"/>
        <v>事件前100个交易日</v>
      </c>
    </row>
    <row r="22" spans="1:18">
      <c r="A22" t="s">
        <v>38</v>
      </c>
      <c r="B22" s="3">
        <v>45002</v>
      </c>
      <c r="C22" s="11">
        <v>19.97</v>
      </c>
      <c r="D22" s="11">
        <v>20.8</v>
      </c>
      <c r="E22" s="11">
        <v>19.97</v>
      </c>
      <c r="F22" s="11">
        <v>20.54</v>
      </c>
      <c r="G22" s="11">
        <v>19.75</v>
      </c>
      <c r="H22" s="11">
        <v>0.79</v>
      </c>
      <c r="I22" s="11">
        <v>4</v>
      </c>
      <c r="J22" s="12">
        <v>75815.77</v>
      </c>
      <c r="K22" s="13">
        <v>155188.903</v>
      </c>
      <c r="L22" t="str">
        <f>'300638.SZ_元数据'!$B$5</f>
        <v>事件库1.csv + 股票日行情CSV</v>
      </c>
      <c r="M22" t="s">
        <v>104</v>
      </c>
      <c r="N22" s="3">
        <f>'300638.SZ_元数据'!$B$4</f>
        <v>45063</v>
      </c>
      <c r="O22">
        <f t="shared" si="0"/>
        <v>21</v>
      </c>
      <c r="P22">
        <f t="shared" si="1"/>
        <v>60</v>
      </c>
      <c r="Q22">
        <f t="shared" si="2"/>
        <v>-39</v>
      </c>
      <c r="R22" t="str">
        <f t="shared" si="3"/>
        <v>事件前100个交易日</v>
      </c>
    </row>
    <row r="23" spans="1:18">
      <c r="A23" t="s">
        <v>38</v>
      </c>
      <c r="B23" s="3">
        <v>45005</v>
      </c>
      <c r="C23" s="11">
        <v>20.61</v>
      </c>
      <c r="D23" s="11">
        <v>21</v>
      </c>
      <c r="E23" s="11">
        <v>20.53</v>
      </c>
      <c r="F23" s="11">
        <v>20.65</v>
      </c>
      <c r="G23" s="11">
        <v>20.54</v>
      </c>
      <c r="H23" s="11">
        <v>0.11</v>
      </c>
      <c r="I23" s="11">
        <v>0.5355</v>
      </c>
      <c r="J23" s="12">
        <v>60720.58</v>
      </c>
      <c r="K23" s="13">
        <v>125995.661</v>
      </c>
      <c r="L23" t="str">
        <f>'300638.SZ_元数据'!$B$5</f>
        <v>事件库1.csv + 股票日行情CSV</v>
      </c>
      <c r="M23" t="s">
        <v>104</v>
      </c>
      <c r="N23" s="3">
        <f>'300638.SZ_元数据'!$B$4</f>
        <v>45063</v>
      </c>
      <c r="O23">
        <f t="shared" si="0"/>
        <v>22</v>
      </c>
      <c r="P23">
        <f t="shared" si="1"/>
        <v>60</v>
      </c>
      <c r="Q23">
        <f t="shared" si="2"/>
        <v>-38</v>
      </c>
      <c r="R23" t="str">
        <f t="shared" si="3"/>
        <v>事件前100个交易日</v>
      </c>
    </row>
    <row r="24" spans="1:18">
      <c r="A24" t="s">
        <v>38</v>
      </c>
      <c r="B24" s="3">
        <v>45006</v>
      </c>
      <c r="C24" s="11">
        <v>20.52</v>
      </c>
      <c r="D24" s="11">
        <v>21.1</v>
      </c>
      <c r="E24" s="11">
        <v>20.3</v>
      </c>
      <c r="F24" s="11">
        <v>21.01</v>
      </c>
      <c r="G24" s="11">
        <v>20.65</v>
      </c>
      <c r="H24" s="11">
        <v>0.36</v>
      </c>
      <c r="I24" s="11">
        <v>1.7433</v>
      </c>
      <c r="J24" s="12">
        <v>48495.27</v>
      </c>
      <c r="K24" s="13">
        <v>101142.397</v>
      </c>
      <c r="L24" t="str">
        <f>'300638.SZ_元数据'!$B$5</f>
        <v>事件库1.csv + 股票日行情CSV</v>
      </c>
      <c r="M24" t="s">
        <v>104</v>
      </c>
      <c r="N24" s="3">
        <f>'300638.SZ_元数据'!$B$4</f>
        <v>45063</v>
      </c>
      <c r="O24">
        <f t="shared" si="0"/>
        <v>23</v>
      </c>
      <c r="P24">
        <f t="shared" si="1"/>
        <v>60</v>
      </c>
      <c r="Q24">
        <f t="shared" si="2"/>
        <v>-37</v>
      </c>
      <c r="R24" t="str">
        <f t="shared" si="3"/>
        <v>事件前100个交易日</v>
      </c>
    </row>
    <row r="25" spans="1:18">
      <c r="A25" t="s">
        <v>38</v>
      </c>
      <c r="B25" s="3">
        <v>45007</v>
      </c>
      <c r="C25" s="11">
        <v>21.02</v>
      </c>
      <c r="D25" s="11">
        <v>21.66</v>
      </c>
      <c r="E25" s="11">
        <v>20.93</v>
      </c>
      <c r="F25" s="11">
        <v>21.66</v>
      </c>
      <c r="G25" s="11">
        <v>21.01</v>
      </c>
      <c r="H25" s="11">
        <v>0.65</v>
      </c>
      <c r="I25" s="11">
        <v>3.0938</v>
      </c>
      <c r="J25" s="12">
        <v>95600.15</v>
      </c>
      <c r="K25" s="13">
        <v>205123.556</v>
      </c>
      <c r="L25" t="str">
        <f>'300638.SZ_元数据'!$B$5</f>
        <v>事件库1.csv + 股票日行情CSV</v>
      </c>
      <c r="M25" t="s">
        <v>104</v>
      </c>
      <c r="N25" s="3">
        <f>'300638.SZ_元数据'!$B$4</f>
        <v>45063</v>
      </c>
      <c r="O25">
        <f t="shared" si="0"/>
        <v>24</v>
      </c>
      <c r="P25">
        <f t="shared" si="1"/>
        <v>60</v>
      </c>
      <c r="Q25">
        <f t="shared" si="2"/>
        <v>-36</v>
      </c>
      <c r="R25" t="str">
        <f t="shared" si="3"/>
        <v>事件前100个交易日</v>
      </c>
    </row>
    <row r="26" spans="1:18">
      <c r="A26" t="s">
        <v>38</v>
      </c>
      <c r="B26" s="3">
        <v>45008</v>
      </c>
      <c r="C26" s="11">
        <v>21.64</v>
      </c>
      <c r="D26" s="11">
        <v>22.99</v>
      </c>
      <c r="E26" s="11">
        <v>21.39</v>
      </c>
      <c r="F26" s="11">
        <v>22.9</v>
      </c>
      <c r="G26" s="11">
        <v>21.66</v>
      </c>
      <c r="H26" s="11">
        <v>1.24</v>
      </c>
      <c r="I26" s="11">
        <v>5.7248</v>
      </c>
      <c r="J26" s="12">
        <v>180224.72</v>
      </c>
      <c r="K26" s="13">
        <v>407163.959</v>
      </c>
      <c r="L26" t="str">
        <f>'300638.SZ_元数据'!$B$5</f>
        <v>事件库1.csv + 股票日行情CSV</v>
      </c>
      <c r="M26" t="s">
        <v>104</v>
      </c>
      <c r="N26" s="3">
        <f>'300638.SZ_元数据'!$B$4</f>
        <v>45063</v>
      </c>
      <c r="O26">
        <f t="shared" si="0"/>
        <v>25</v>
      </c>
      <c r="P26">
        <f t="shared" si="1"/>
        <v>60</v>
      </c>
      <c r="Q26">
        <f t="shared" si="2"/>
        <v>-35</v>
      </c>
      <c r="R26" t="str">
        <f t="shared" si="3"/>
        <v>事件前100个交易日</v>
      </c>
    </row>
    <row r="27" spans="1:18">
      <c r="A27" t="s">
        <v>38</v>
      </c>
      <c r="B27" s="3">
        <v>45009</v>
      </c>
      <c r="C27" s="11">
        <v>23.3</v>
      </c>
      <c r="D27" s="11">
        <v>23.86</v>
      </c>
      <c r="E27" s="11">
        <v>22.81</v>
      </c>
      <c r="F27" s="11">
        <v>23.41</v>
      </c>
      <c r="G27" s="11">
        <v>22.9</v>
      </c>
      <c r="H27" s="11">
        <v>0.51</v>
      </c>
      <c r="I27" s="11">
        <v>2.2271</v>
      </c>
      <c r="J27" s="12">
        <v>179625.9</v>
      </c>
      <c r="K27" s="13">
        <v>418782.337</v>
      </c>
      <c r="L27" t="str">
        <f>'300638.SZ_元数据'!$B$5</f>
        <v>事件库1.csv + 股票日行情CSV</v>
      </c>
      <c r="M27" t="s">
        <v>104</v>
      </c>
      <c r="N27" s="3">
        <f>'300638.SZ_元数据'!$B$4</f>
        <v>45063</v>
      </c>
      <c r="O27">
        <f t="shared" si="0"/>
        <v>26</v>
      </c>
      <c r="P27">
        <f t="shared" si="1"/>
        <v>60</v>
      </c>
      <c r="Q27">
        <f t="shared" si="2"/>
        <v>-34</v>
      </c>
      <c r="R27" t="str">
        <f t="shared" si="3"/>
        <v>事件前100个交易日</v>
      </c>
    </row>
    <row r="28" spans="1:18">
      <c r="A28" t="s">
        <v>38</v>
      </c>
      <c r="B28" s="3">
        <v>45012</v>
      </c>
      <c r="C28" s="11">
        <v>23.2</v>
      </c>
      <c r="D28" s="11">
        <v>24.18</v>
      </c>
      <c r="E28" s="11">
        <v>22.76</v>
      </c>
      <c r="F28" s="11">
        <v>23.41</v>
      </c>
      <c r="G28" s="11">
        <v>23.41</v>
      </c>
      <c r="H28" s="11">
        <v>0</v>
      </c>
      <c r="I28" s="11">
        <v>0</v>
      </c>
      <c r="J28" s="12">
        <v>193150.05</v>
      </c>
      <c r="K28" s="13">
        <v>453100.908</v>
      </c>
      <c r="L28" t="str">
        <f>'300638.SZ_元数据'!$B$5</f>
        <v>事件库1.csv + 股票日行情CSV</v>
      </c>
      <c r="M28" t="s">
        <v>104</v>
      </c>
      <c r="N28" s="3">
        <f>'300638.SZ_元数据'!$B$4</f>
        <v>45063</v>
      </c>
      <c r="O28">
        <f t="shared" si="0"/>
        <v>27</v>
      </c>
      <c r="P28">
        <f t="shared" si="1"/>
        <v>60</v>
      </c>
      <c r="Q28">
        <f t="shared" si="2"/>
        <v>-33</v>
      </c>
      <c r="R28" t="str">
        <f t="shared" si="3"/>
        <v>事件前100个交易日</v>
      </c>
    </row>
    <row r="29" spans="1:18">
      <c r="A29" t="s">
        <v>38</v>
      </c>
      <c r="B29" s="3">
        <v>45013</v>
      </c>
      <c r="C29" s="11">
        <v>23.42</v>
      </c>
      <c r="D29" s="11">
        <v>25.43</v>
      </c>
      <c r="E29" s="11">
        <v>23.42</v>
      </c>
      <c r="F29" s="11">
        <v>24.26</v>
      </c>
      <c r="G29" s="11">
        <v>23.41</v>
      </c>
      <c r="H29" s="11">
        <v>0.85</v>
      </c>
      <c r="I29" s="11">
        <v>3.6309</v>
      </c>
      <c r="J29" s="12">
        <v>336804.51</v>
      </c>
      <c r="K29" s="13">
        <v>820609.991</v>
      </c>
      <c r="L29" t="str">
        <f>'300638.SZ_元数据'!$B$5</f>
        <v>事件库1.csv + 股票日行情CSV</v>
      </c>
      <c r="M29" t="s">
        <v>104</v>
      </c>
      <c r="N29" s="3">
        <f>'300638.SZ_元数据'!$B$4</f>
        <v>45063</v>
      </c>
      <c r="O29">
        <f t="shared" si="0"/>
        <v>28</v>
      </c>
      <c r="P29">
        <f t="shared" si="1"/>
        <v>60</v>
      </c>
      <c r="Q29">
        <f t="shared" si="2"/>
        <v>-32</v>
      </c>
      <c r="R29" t="str">
        <f t="shared" si="3"/>
        <v>事件前100个交易日</v>
      </c>
    </row>
    <row r="30" spans="1:18">
      <c r="A30" t="s">
        <v>38</v>
      </c>
      <c r="B30" s="3">
        <v>45014</v>
      </c>
      <c r="C30" s="11">
        <v>24.28</v>
      </c>
      <c r="D30" s="11">
        <v>25.2</v>
      </c>
      <c r="E30" s="11">
        <v>24.07</v>
      </c>
      <c r="F30" s="11">
        <v>24.51</v>
      </c>
      <c r="G30" s="11">
        <v>24.26</v>
      </c>
      <c r="H30" s="11">
        <v>0.25</v>
      </c>
      <c r="I30" s="11">
        <v>1.0305</v>
      </c>
      <c r="J30" s="12">
        <v>260419.43</v>
      </c>
      <c r="K30" s="13">
        <v>639562.744</v>
      </c>
      <c r="L30" t="str">
        <f>'300638.SZ_元数据'!$B$5</f>
        <v>事件库1.csv + 股票日行情CSV</v>
      </c>
      <c r="M30" t="s">
        <v>104</v>
      </c>
      <c r="N30" s="3">
        <f>'300638.SZ_元数据'!$B$4</f>
        <v>45063</v>
      </c>
      <c r="O30">
        <f t="shared" si="0"/>
        <v>29</v>
      </c>
      <c r="P30">
        <f t="shared" si="1"/>
        <v>60</v>
      </c>
      <c r="Q30">
        <f t="shared" si="2"/>
        <v>-31</v>
      </c>
      <c r="R30" t="str">
        <f t="shared" si="3"/>
        <v>事件前100个交易日</v>
      </c>
    </row>
    <row r="31" spans="1:18">
      <c r="A31" t="s">
        <v>38</v>
      </c>
      <c r="B31" s="3">
        <v>45015</v>
      </c>
      <c r="C31" s="11">
        <v>24.76</v>
      </c>
      <c r="D31" s="11">
        <v>25.33</v>
      </c>
      <c r="E31" s="11">
        <v>23.23</v>
      </c>
      <c r="F31" s="11">
        <v>23.38</v>
      </c>
      <c r="G31" s="11">
        <v>24.51</v>
      </c>
      <c r="H31" s="11">
        <v>-1.13</v>
      </c>
      <c r="I31" s="11">
        <v>-4.6104</v>
      </c>
      <c r="J31" s="12">
        <v>270524.49</v>
      </c>
      <c r="K31" s="13">
        <v>648496.777</v>
      </c>
      <c r="L31" t="str">
        <f>'300638.SZ_元数据'!$B$5</f>
        <v>事件库1.csv + 股票日行情CSV</v>
      </c>
      <c r="M31" t="s">
        <v>104</v>
      </c>
      <c r="N31" s="3">
        <f>'300638.SZ_元数据'!$B$4</f>
        <v>45063</v>
      </c>
      <c r="O31">
        <f t="shared" si="0"/>
        <v>30</v>
      </c>
      <c r="P31">
        <f t="shared" si="1"/>
        <v>60</v>
      </c>
      <c r="Q31">
        <f t="shared" si="2"/>
        <v>-30</v>
      </c>
      <c r="R31" t="str">
        <f t="shared" si="3"/>
        <v>事件前100个交易日</v>
      </c>
    </row>
    <row r="32" spans="1:18">
      <c r="A32" t="s">
        <v>38</v>
      </c>
      <c r="B32" s="3">
        <v>45016</v>
      </c>
      <c r="C32" s="11">
        <v>23.41</v>
      </c>
      <c r="D32" s="11">
        <v>23.67</v>
      </c>
      <c r="E32" s="11">
        <v>22.7</v>
      </c>
      <c r="F32" s="11">
        <v>23.55</v>
      </c>
      <c r="G32" s="11">
        <v>23.38</v>
      </c>
      <c r="H32" s="11">
        <v>0.17</v>
      </c>
      <c r="I32" s="11">
        <v>0.7271</v>
      </c>
      <c r="J32" s="12">
        <v>164937.07</v>
      </c>
      <c r="K32" s="13">
        <v>383508.049</v>
      </c>
      <c r="L32" t="str">
        <f>'300638.SZ_元数据'!$B$5</f>
        <v>事件库1.csv + 股票日行情CSV</v>
      </c>
      <c r="M32" t="s">
        <v>104</v>
      </c>
      <c r="N32" s="3">
        <f>'300638.SZ_元数据'!$B$4</f>
        <v>45063</v>
      </c>
      <c r="O32">
        <f t="shared" si="0"/>
        <v>31</v>
      </c>
      <c r="P32">
        <f t="shared" si="1"/>
        <v>60</v>
      </c>
      <c r="Q32">
        <f t="shared" si="2"/>
        <v>-29</v>
      </c>
      <c r="R32" t="str">
        <f t="shared" si="3"/>
        <v>事件前100个交易日</v>
      </c>
    </row>
    <row r="33" spans="1:18">
      <c r="A33" t="s">
        <v>38</v>
      </c>
      <c r="B33" s="3">
        <v>45019</v>
      </c>
      <c r="C33" s="11">
        <v>23.7</v>
      </c>
      <c r="D33" s="11">
        <v>24.47</v>
      </c>
      <c r="E33" s="11">
        <v>23.54</v>
      </c>
      <c r="F33" s="11">
        <v>24.32</v>
      </c>
      <c r="G33" s="11">
        <v>23.55</v>
      </c>
      <c r="H33" s="11">
        <v>0.77</v>
      </c>
      <c r="I33" s="11">
        <v>3.2696</v>
      </c>
      <c r="J33" s="12">
        <v>189499</v>
      </c>
      <c r="K33" s="13">
        <v>458150.641</v>
      </c>
      <c r="L33" t="str">
        <f>'300638.SZ_元数据'!$B$5</f>
        <v>事件库1.csv + 股票日行情CSV</v>
      </c>
      <c r="M33" t="s">
        <v>104</v>
      </c>
      <c r="N33" s="3">
        <f>'300638.SZ_元数据'!$B$4</f>
        <v>45063</v>
      </c>
      <c r="O33">
        <f t="shared" si="0"/>
        <v>32</v>
      </c>
      <c r="P33">
        <f t="shared" si="1"/>
        <v>60</v>
      </c>
      <c r="Q33">
        <f t="shared" si="2"/>
        <v>-28</v>
      </c>
      <c r="R33" t="str">
        <f t="shared" si="3"/>
        <v>事件前100个交易日</v>
      </c>
    </row>
    <row r="34" spans="1:18">
      <c r="A34" t="s">
        <v>38</v>
      </c>
      <c r="B34" s="3">
        <v>45020</v>
      </c>
      <c r="C34" s="11">
        <v>24.22</v>
      </c>
      <c r="D34" s="11">
        <v>24.88</v>
      </c>
      <c r="E34" s="11">
        <v>23.7</v>
      </c>
      <c r="F34" s="11">
        <v>24.39</v>
      </c>
      <c r="G34" s="11">
        <v>24.32</v>
      </c>
      <c r="H34" s="11">
        <v>0.07</v>
      </c>
      <c r="I34" s="11">
        <v>0.2878</v>
      </c>
      <c r="J34" s="12">
        <v>181536.71</v>
      </c>
      <c r="K34" s="13">
        <v>440311.506</v>
      </c>
      <c r="L34" t="str">
        <f>'300638.SZ_元数据'!$B$5</f>
        <v>事件库1.csv + 股票日行情CSV</v>
      </c>
      <c r="M34" t="s">
        <v>104</v>
      </c>
      <c r="N34" s="3">
        <f>'300638.SZ_元数据'!$B$4</f>
        <v>45063</v>
      </c>
      <c r="O34">
        <f t="shared" si="0"/>
        <v>33</v>
      </c>
      <c r="P34">
        <f t="shared" si="1"/>
        <v>60</v>
      </c>
      <c r="Q34">
        <f t="shared" si="2"/>
        <v>-27</v>
      </c>
      <c r="R34" t="str">
        <f t="shared" si="3"/>
        <v>事件前100个交易日</v>
      </c>
    </row>
    <row r="35" spans="1:18">
      <c r="A35" t="s">
        <v>38</v>
      </c>
      <c r="B35" s="3">
        <v>45022</v>
      </c>
      <c r="C35" s="11">
        <v>24.79</v>
      </c>
      <c r="D35" s="11">
        <v>27.45</v>
      </c>
      <c r="E35" s="11">
        <v>24.79</v>
      </c>
      <c r="F35" s="11">
        <v>27.41</v>
      </c>
      <c r="G35" s="11">
        <v>24.39</v>
      </c>
      <c r="H35" s="11">
        <v>3.02</v>
      </c>
      <c r="I35" s="11">
        <v>12.3821</v>
      </c>
      <c r="J35" s="12">
        <v>396185.08</v>
      </c>
      <c r="K35" s="13">
        <v>1039055.225</v>
      </c>
      <c r="L35" t="str">
        <f>'300638.SZ_元数据'!$B$5</f>
        <v>事件库1.csv + 股票日行情CSV</v>
      </c>
      <c r="M35" t="s">
        <v>104</v>
      </c>
      <c r="N35" s="3">
        <f>'300638.SZ_元数据'!$B$4</f>
        <v>45063</v>
      </c>
      <c r="O35">
        <f t="shared" si="0"/>
        <v>34</v>
      </c>
      <c r="P35">
        <f t="shared" si="1"/>
        <v>60</v>
      </c>
      <c r="Q35">
        <f t="shared" si="2"/>
        <v>-26</v>
      </c>
      <c r="R35" t="str">
        <f t="shared" si="3"/>
        <v>事件前100个交易日</v>
      </c>
    </row>
    <row r="36" spans="1:18">
      <c r="A36" t="s">
        <v>38</v>
      </c>
      <c r="B36" s="3">
        <v>45023</v>
      </c>
      <c r="C36" s="11">
        <v>27</v>
      </c>
      <c r="D36" s="11">
        <v>27</v>
      </c>
      <c r="E36" s="11">
        <v>25.73</v>
      </c>
      <c r="F36" s="11">
        <v>26.28</v>
      </c>
      <c r="G36" s="11">
        <v>27.41</v>
      </c>
      <c r="H36" s="11">
        <v>-1.13</v>
      </c>
      <c r="I36" s="11">
        <v>-4.1226</v>
      </c>
      <c r="J36" s="12">
        <v>241125.36</v>
      </c>
      <c r="K36" s="13">
        <v>632094.196</v>
      </c>
      <c r="L36" t="str">
        <f>'300638.SZ_元数据'!$B$5</f>
        <v>事件库1.csv + 股票日行情CSV</v>
      </c>
      <c r="M36" t="s">
        <v>104</v>
      </c>
      <c r="N36" s="3">
        <f>'300638.SZ_元数据'!$B$4</f>
        <v>45063</v>
      </c>
      <c r="O36">
        <f t="shared" si="0"/>
        <v>35</v>
      </c>
      <c r="P36">
        <f t="shared" si="1"/>
        <v>60</v>
      </c>
      <c r="Q36">
        <f t="shared" si="2"/>
        <v>-25</v>
      </c>
      <c r="R36" t="str">
        <f t="shared" si="3"/>
        <v>事件前100个交易日</v>
      </c>
    </row>
    <row r="37" spans="1:18">
      <c r="A37" t="s">
        <v>38</v>
      </c>
      <c r="B37" s="3">
        <v>45026</v>
      </c>
      <c r="C37" s="11">
        <v>26.04</v>
      </c>
      <c r="D37" s="11">
        <v>26.97</v>
      </c>
      <c r="E37" s="11">
        <v>25</v>
      </c>
      <c r="F37" s="11">
        <v>25.3</v>
      </c>
      <c r="G37" s="11">
        <v>26.28</v>
      </c>
      <c r="H37" s="11">
        <v>-0.98</v>
      </c>
      <c r="I37" s="11">
        <v>-3.7291</v>
      </c>
      <c r="J37" s="12">
        <v>236510.7</v>
      </c>
      <c r="K37" s="13">
        <v>614584.616</v>
      </c>
      <c r="L37" t="str">
        <f>'300638.SZ_元数据'!$B$5</f>
        <v>事件库1.csv + 股票日行情CSV</v>
      </c>
      <c r="M37" t="s">
        <v>104</v>
      </c>
      <c r="N37" s="3">
        <f>'300638.SZ_元数据'!$B$4</f>
        <v>45063</v>
      </c>
      <c r="O37">
        <f t="shared" si="0"/>
        <v>36</v>
      </c>
      <c r="P37">
        <f t="shared" si="1"/>
        <v>60</v>
      </c>
      <c r="Q37">
        <f t="shared" si="2"/>
        <v>-24</v>
      </c>
      <c r="R37" t="str">
        <f t="shared" si="3"/>
        <v>事件前100个交易日</v>
      </c>
    </row>
    <row r="38" spans="1:18">
      <c r="A38" t="s">
        <v>38</v>
      </c>
      <c r="B38" s="3">
        <v>45027</v>
      </c>
      <c r="C38" s="11">
        <v>25.14</v>
      </c>
      <c r="D38" s="11">
        <v>25.62</v>
      </c>
      <c r="E38" s="11">
        <v>24.62</v>
      </c>
      <c r="F38" s="11">
        <v>24.95</v>
      </c>
      <c r="G38" s="11">
        <v>25.3</v>
      </c>
      <c r="H38" s="11">
        <v>-0.35</v>
      </c>
      <c r="I38" s="11">
        <v>-1.3834</v>
      </c>
      <c r="J38" s="12">
        <v>167400.36</v>
      </c>
      <c r="K38" s="13">
        <v>419907.614</v>
      </c>
      <c r="L38" t="str">
        <f>'300638.SZ_元数据'!$B$5</f>
        <v>事件库1.csv + 股票日行情CSV</v>
      </c>
      <c r="M38" t="s">
        <v>104</v>
      </c>
      <c r="N38" s="3">
        <f>'300638.SZ_元数据'!$B$4</f>
        <v>45063</v>
      </c>
      <c r="O38">
        <f t="shared" si="0"/>
        <v>37</v>
      </c>
      <c r="P38">
        <f t="shared" si="1"/>
        <v>60</v>
      </c>
      <c r="Q38">
        <f t="shared" si="2"/>
        <v>-23</v>
      </c>
      <c r="R38" t="str">
        <f t="shared" si="3"/>
        <v>事件前100个交易日</v>
      </c>
    </row>
    <row r="39" spans="1:18">
      <c r="A39" t="s">
        <v>38</v>
      </c>
      <c r="B39" s="3">
        <v>45028</v>
      </c>
      <c r="C39" s="11">
        <v>25.14</v>
      </c>
      <c r="D39" s="11">
        <v>26.2</v>
      </c>
      <c r="E39" s="11">
        <v>24.66</v>
      </c>
      <c r="F39" s="11">
        <v>25.83</v>
      </c>
      <c r="G39" s="11">
        <v>24.95</v>
      </c>
      <c r="H39" s="11">
        <v>0.88</v>
      </c>
      <c r="I39" s="11">
        <v>3.5271</v>
      </c>
      <c r="J39" s="12">
        <v>223395.42</v>
      </c>
      <c r="K39" s="13">
        <v>572981.39</v>
      </c>
      <c r="L39" t="str">
        <f>'300638.SZ_元数据'!$B$5</f>
        <v>事件库1.csv + 股票日行情CSV</v>
      </c>
      <c r="M39" t="s">
        <v>104</v>
      </c>
      <c r="N39" s="3">
        <f>'300638.SZ_元数据'!$B$4</f>
        <v>45063</v>
      </c>
      <c r="O39">
        <f t="shared" si="0"/>
        <v>38</v>
      </c>
      <c r="P39">
        <f t="shared" si="1"/>
        <v>60</v>
      </c>
      <c r="Q39">
        <f t="shared" si="2"/>
        <v>-22</v>
      </c>
      <c r="R39" t="str">
        <f t="shared" si="3"/>
        <v>事件前100个交易日</v>
      </c>
    </row>
    <row r="40" spans="1:18">
      <c r="A40" t="s">
        <v>38</v>
      </c>
      <c r="B40" s="3">
        <v>45029</v>
      </c>
      <c r="C40" s="11">
        <v>25.8</v>
      </c>
      <c r="D40" s="11">
        <v>26.1</v>
      </c>
      <c r="E40" s="11">
        <v>24.44</v>
      </c>
      <c r="F40" s="11">
        <v>24.58</v>
      </c>
      <c r="G40" s="11">
        <v>25.83</v>
      </c>
      <c r="H40" s="11">
        <v>-1.25</v>
      </c>
      <c r="I40" s="11">
        <v>-4.8393</v>
      </c>
      <c r="J40" s="12">
        <v>184873.48</v>
      </c>
      <c r="K40" s="13">
        <v>463196.523</v>
      </c>
      <c r="L40" t="str">
        <f>'300638.SZ_元数据'!$B$5</f>
        <v>事件库1.csv + 股票日行情CSV</v>
      </c>
      <c r="M40" t="s">
        <v>104</v>
      </c>
      <c r="N40" s="3">
        <f>'300638.SZ_元数据'!$B$4</f>
        <v>45063</v>
      </c>
      <c r="O40">
        <f t="shared" si="0"/>
        <v>39</v>
      </c>
      <c r="P40">
        <f t="shared" si="1"/>
        <v>60</v>
      </c>
      <c r="Q40">
        <f t="shared" si="2"/>
        <v>-21</v>
      </c>
      <c r="R40" t="str">
        <f t="shared" si="3"/>
        <v>事件前100个交易日</v>
      </c>
    </row>
    <row r="41" spans="1:18">
      <c r="A41" t="s">
        <v>38</v>
      </c>
      <c r="B41" s="3">
        <v>45030</v>
      </c>
      <c r="C41" s="11">
        <v>24.58</v>
      </c>
      <c r="D41" s="11">
        <v>24.81</v>
      </c>
      <c r="E41" s="11">
        <v>23.86</v>
      </c>
      <c r="F41" s="11">
        <v>24.53</v>
      </c>
      <c r="G41" s="11">
        <v>24.58</v>
      </c>
      <c r="H41" s="11">
        <v>-0.05</v>
      </c>
      <c r="I41" s="11">
        <v>-0.2034</v>
      </c>
      <c r="J41" s="12">
        <v>143383.28</v>
      </c>
      <c r="K41" s="13">
        <v>349349.057</v>
      </c>
      <c r="L41" t="str">
        <f>'300638.SZ_元数据'!$B$5</f>
        <v>事件库1.csv + 股票日行情CSV</v>
      </c>
      <c r="M41" t="s">
        <v>104</v>
      </c>
      <c r="N41" s="3">
        <f>'300638.SZ_元数据'!$B$4</f>
        <v>45063</v>
      </c>
      <c r="O41">
        <f t="shared" si="0"/>
        <v>40</v>
      </c>
      <c r="P41">
        <f t="shared" si="1"/>
        <v>60</v>
      </c>
      <c r="Q41">
        <f t="shared" si="2"/>
        <v>-20</v>
      </c>
      <c r="R41" t="str">
        <f t="shared" si="3"/>
        <v>事件前100个交易日</v>
      </c>
    </row>
    <row r="42" spans="1:18">
      <c r="A42" t="s">
        <v>38</v>
      </c>
      <c r="B42" s="3">
        <v>45033</v>
      </c>
      <c r="C42" s="11">
        <v>24.5</v>
      </c>
      <c r="D42" s="11">
        <v>24.5</v>
      </c>
      <c r="E42" s="11">
        <v>23.49</v>
      </c>
      <c r="F42" s="11">
        <v>23.61</v>
      </c>
      <c r="G42" s="11">
        <v>24.53</v>
      </c>
      <c r="H42" s="11">
        <v>-0.92</v>
      </c>
      <c r="I42" s="11">
        <v>-3.7505</v>
      </c>
      <c r="J42" s="12">
        <v>120500.23</v>
      </c>
      <c r="K42" s="13">
        <v>286578.312</v>
      </c>
      <c r="L42" t="str">
        <f>'300638.SZ_元数据'!$B$5</f>
        <v>事件库1.csv + 股票日行情CSV</v>
      </c>
      <c r="M42" t="s">
        <v>104</v>
      </c>
      <c r="N42" s="3">
        <f>'300638.SZ_元数据'!$B$4</f>
        <v>45063</v>
      </c>
      <c r="O42">
        <f t="shared" si="0"/>
        <v>41</v>
      </c>
      <c r="P42">
        <f t="shared" si="1"/>
        <v>60</v>
      </c>
      <c r="Q42">
        <f t="shared" si="2"/>
        <v>-19</v>
      </c>
      <c r="R42" t="str">
        <f t="shared" si="3"/>
        <v>事件前100个交易日</v>
      </c>
    </row>
    <row r="43" spans="1:18">
      <c r="A43" t="s">
        <v>38</v>
      </c>
      <c r="B43" s="3">
        <v>45034</v>
      </c>
      <c r="C43" s="11">
        <v>23.6</v>
      </c>
      <c r="D43" s="11">
        <v>24.78</v>
      </c>
      <c r="E43" s="11">
        <v>23.5</v>
      </c>
      <c r="F43" s="11">
        <v>24.39</v>
      </c>
      <c r="G43" s="11">
        <v>23.61</v>
      </c>
      <c r="H43" s="11">
        <v>0.78</v>
      </c>
      <c r="I43" s="11">
        <v>3.3037</v>
      </c>
      <c r="J43" s="12">
        <v>185204.08</v>
      </c>
      <c r="K43" s="13">
        <v>447612.135</v>
      </c>
      <c r="L43" t="str">
        <f>'300638.SZ_元数据'!$B$5</f>
        <v>事件库1.csv + 股票日行情CSV</v>
      </c>
      <c r="M43" t="s">
        <v>104</v>
      </c>
      <c r="N43" s="3">
        <f>'300638.SZ_元数据'!$B$4</f>
        <v>45063</v>
      </c>
      <c r="O43">
        <f t="shared" si="0"/>
        <v>42</v>
      </c>
      <c r="P43">
        <f t="shared" si="1"/>
        <v>60</v>
      </c>
      <c r="Q43">
        <f t="shared" si="2"/>
        <v>-18</v>
      </c>
      <c r="R43" t="str">
        <f t="shared" si="3"/>
        <v>事件前100个交易日</v>
      </c>
    </row>
    <row r="44" spans="1:18">
      <c r="A44" t="s">
        <v>38</v>
      </c>
      <c r="B44" s="3">
        <v>45035</v>
      </c>
      <c r="C44" s="11">
        <v>23.93</v>
      </c>
      <c r="D44" s="11">
        <v>24.9</v>
      </c>
      <c r="E44" s="11">
        <v>23.8</v>
      </c>
      <c r="F44" s="11">
        <v>24.18</v>
      </c>
      <c r="G44" s="11">
        <v>24.39</v>
      </c>
      <c r="H44" s="11">
        <v>-0.21</v>
      </c>
      <c r="I44" s="11">
        <v>-0.861</v>
      </c>
      <c r="J44" s="12">
        <v>143454.44</v>
      </c>
      <c r="K44" s="13">
        <v>349665.575</v>
      </c>
      <c r="L44" t="str">
        <f>'300638.SZ_元数据'!$B$5</f>
        <v>事件库1.csv + 股票日行情CSV</v>
      </c>
      <c r="M44" t="s">
        <v>104</v>
      </c>
      <c r="N44" s="3">
        <f>'300638.SZ_元数据'!$B$4</f>
        <v>45063</v>
      </c>
      <c r="O44">
        <f t="shared" si="0"/>
        <v>43</v>
      </c>
      <c r="P44">
        <f t="shared" si="1"/>
        <v>60</v>
      </c>
      <c r="Q44">
        <f t="shared" si="2"/>
        <v>-17</v>
      </c>
      <c r="R44" t="str">
        <f t="shared" si="3"/>
        <v>事件前100个交易日</v>
      </c>
    </row>
    <row r="45" spans="1:18">
      <c r="A45" t="s">
        <v>38</v>
      </c>
      <c r="B45" s="3">
        <v>45036</v>
      </c>
      <c r="C45" s="11">
        <v>24.28</v>
      </c>
      <c r="D45" s="11">
        <v>25.28</v>
      </c>
      <c r="E45" s="11">
        <v>24.28</v>
      </c>
      <c r="F45" s="11">
        <v>24.8</v>
      </c>
      <c r="G45" s="11">
        <v>24.18</v>
      </c>
      <c r="H45" s="11">
        <v>0.62</v>
      </c>
      <c r="I45" s="11">
        <v>2.5641</v>
      </c>
      <c r="J45" s="12">
        <v>176352.93</v>
      </c>
      <c r="K45" s="13">
        <v>439152.162</v>
      </c>
      <c r="L45" t="str">
        <f>'300638.SZ_元数据'!$B$5</f>
        <v>事件库1.csv + 股票日行情CSV</v>
      </c>
      <c r="M45" t="s">
        <v>104</v>
      </c>
      <c r="N45" s="3">
        <f>'300638.SZ_元数据'!$B$4</f>
        <v>45063</v>
      </c>
      <c r="O45">
        <f t="shared" si="0"/>
        <v>44</v>
      </c>
      <c r="P45">
        <f t="shared" si="1"/>
        <v>60</v>
      </c>
      <c r="Q45">
        <f t="shared" si="2"/>
        <v>-16</v>
      </c>
      <c r="R45" t="str">
        <f t="shared" si="3"/>
        <v>事件前100个交易日</v>
      </c>
    </row>
    <row r="46" spans="1:18">
      <c r="A46" t="s">
        <v>38</v>
      </c>
      <c r="B46" s="3">
        <v>45037</v>
      </c>
      <c r="C46" s="11">
        <v>24.71</v>
      </c>
      <c r="D46" s="11">
        <v>24.77</v>
      </c>
      <c r="E46" s="11">
        <v>23.09</v>
      </c>
      <c r="F46" s="11">
        <v>23.1</v>
      </c>
      <c r="G46" s="11">
        <v>24.8</v>
      </c>
      <c r="H46" s="11">
        <v>-1.7</v>
      </c>
      <c r="I46" s="11">
        <v>-6.8548</v>
      </c>
      <c r="J46" s="12">
        <v>158065.67</v>
      </c>
      <c r="K46" s="13">
        <v>374269.567</v>
      </c>
      <c r="L46" t="str">
        <f>'300638.SZ_元数据'!$B$5</f>
        <v>事件库1.csv + 股票日行情CSV</v>
      </c>
      <c r="M46" t="s">
        <v>104</v>
      </c>
      <c r="N46" s="3">
        <f>'300638.SZ_元数据'!$B$4</f>
        <v>45063</v>
      </c>
      <c r="O46">
        <f t="shared" si="0"/>
        <v>45</v>
      </c>
      <c r="P46">
        <f t="shared" si="1"/>
        <v>60</v>
      </c>
      <c r="Q46">
        <f t="shared" si="2"/>
        <v>-15</v>
      </c>
      <c r="R46" t="str">
        <f t="shared" si="3"/>
        <v>事件前100个交易日</v>
      </c>
    </row>
    <row r="47" spans="1:18">
      <c r="A47" t="s">
        <v>38</v>
      </c>
      <c r="B47" s="3">
        <v>45040</v>
      </c>
      <c r="C47" s="11">
        <v>23.15</v>
      </c>
      <c r="D47" s="11">
        <v>23.63</v>
      </c>
      <c r="E47" s="11">
        <v>22.8</v>
      </c>
      <c r="F47" s="11">
        <v>23.25</v>
      </c>
      <c r="G47" s="11">
        <v>23.1</v>
      </c>
      <c r="H47" s="11">
        <v>0.15</v>
      </c>
      <c r="I47" s="11">
        <v>0.6494</v>
      </c>
      <c r="J47" s="12">
        <v>110276.64</v>
      </c>
      <c r="K47" s="13">
        <v>256015.965</v>
      </c>
      <c r="L47" t="str">
        <f>'300638.SZ_元数据'!$B$5</f>
        <v>事件库1.csv + 股票日行情CSV</v>
      </c>
      <c r="M47" t="s">
        <v>104</v>
      </c>
      <c r="N47" s="3">
        <f>'300638.SZ_元数据'!$B$4</f>
        <v>45063</v>
      </c>
      <c r="O47">
        <f t="shared" si="0"/>
        <v>46</v>
      </c>
      <c r="P47">
        <f t="shared" si="1"/>
        <v>60</v>
      </c>
      <c r="Q47">
        <f t="shared" si="2"/>
        <v>-14</v>
      </c>
      <c r="R47" t="str">
        <f t="shared" si="3"/>
        <v>事件前100个交易日</v>
      </c>
    </row>
    <row r="48" spans="1:18">
      <c r="A48" t="s">
        <v>38</v>
      </c>
      <c r="B48" s="3">
        <v>45041</v>
      </c>
      <c r="C48" s="11">
        <v>23.08</v>
      </c>
      <c r="D48" s="11">
        <v>23.23</v>
      </c>
      <c r="E48" s="11">
        <v>21.9</v>
      </c>
      <c r="F48" s="11">
        <v>22.79</v>
      </c>
      <c r="G48" s="11">
        <v>23.25</v>
      </c>
      <c r="H48" s="11">
        <v>-0.46</v>
      </c>
      <c r="I48" s="11">
        <v>-1.9785</v>
      </c>
      <c r="J48" s="12">
        <v>165999.12</v>
      </c>
      <c r="K48" s="13">
        <v>375458.791</v>
      </c>
      <c r="L48" t="str">
        <f>'300638.SZ_元数据'!$B$5</f>
        <v>事件库1.csv + 股票日行情CSV</v>
      </c>
      <c r="M48" t="s">
        <v>104</v>
      </c>
      <c r="N48" s="3">
        <f>'300638.SZ_元数据'!$B$4</f>
        <v>45063</v>
      </c>
      <c r="O48">
        <f t="shared" si="0"/>
        <v>47</v>
      </c>
      <c r="P48">
        <f t="shared" si="1"/>
        <v>60</v>
      </c>
      <c r="Q48">
        <f t="shared" si="2"/>
        <v>-13</v>
      </c>
      <c r="R48" t="str">
        <f t="shared" si="3"/>
        <v>事件前100个交易日</v>
      </c>
    </row>
    <row r="49" spans="1:19">
      <c r="A49" t="s">
        <v>38</v>
      </c>
      <c r="B49" s="3">
        <v>45042</v>
      </c>
      <c r="C49" s="11">
        <v>24.2</v>
      </c>
      <c r="D49" s="11">
        <v>25.99</v>
      </c>
      <c r="E49" s="11">
        <v>23.97</v>
      </c>
      <c r="F49" s="11">
        <v>24.1</v>
      </c>
      <c r="G49" s="11">
        <v>22.79</v>
      </c>
      <c r="H49" s="11">
        <v>1.31</v>
      </c>
      <c r="I49" s="11">
        <v>5.7481</v>
      </c>
      <c r="J49" s="12">
        <v>390783.49</v>
      </c>
      <c r="K49" s="13">
        <v>971647.986</v>
      </c>
      <c r="L49" t="str">
        <f>'300638.SZ_元数据'!$B$5</f>
        <v>事件库1.csv + 股票日行情CSV</v>
      </c>
      <c r="M49" t="s">
        <v>104</v>
      </c>
      <c r="N49" s="3">
        <f>'300638.SZ_元数据'!$B$4</f>
        <v>45063</v>
      </c>
      <c r="O49">
        <f t="shared" si="0"/>
        <v>48</v>
      </c>
      <c r="P49">
        <f t="shared" si="1"/>
        <v>60</v>
      </c>
      <c r="Q49">
        <f t="shared" si="2"/>
        <v>-12</v>
      </c>
      <c r="R49" t="str">
        <f t="shared" si="3"/>
        <v>事件前100个交易日</v>
      </c>
    </row>
    <row r="50" spans="1:19">
      <c r="A50" t="s">
        <v>38</v>
      </c>
      <c r="B50" s="3">
        <v>45043</v>
      </c>
      <c r="C50" s="11">
        <v>24.28</v>
      </c>
      <c r="D50" s="11">
        <v>24.71</v>
      </c>
      <c r="E50" s="11">
        <v>23.5</v>
      </c>
      <c r="F50" s="11">
        <v>24.58</v>
      </c>
      <c r="G50" s="11">
        <v>24.1</v>
      </c>
      <c r="H50" s="11">
        <v>0.48</v>
      </c>
      <c r="I50" s="11">
        <v>1.9917</v>
      </c>
      <c r="J50" s="12">
        <v>218312.92</v>
      </c>
      <c r="K50" s="13">
        <v>526403.912</v>
      </c>
      <c r="L50" t="str">
        <f>'300638.SZ_元数据'!$B$5</f>
        <v>事件库1.csv + 股票日行情CSV</v>
      </c>
      <c r="M50" t="s">
        <v>104</v>
      </c>
      <c r="N50" s="3">
        <f>'300638.SZ_元数据'!$B$4</f>
        <v>45063</v>
      </c>
      <c r="O50">
        <f t="shared" si="0"/>
        <v>49</v>
      </c>
      <c r="P50">
        <f t="shared" si="1"/>
        <v>60</v>
      </c>
      <c r="Q50">
        <f t="shared" si="2"/>
        <v>-11</v>
      </c>
      <c r="R50" t="str">
        <f t="shared" si="3"/>
        <v>事件前100个交易日</v>
      </c>
    </row>
    <row r="51" spans="1:19">
      <c r="A51" t="s">
        <v>38</v>
      </c>
      <c r="B51" s="3">
        <v>45044</v>
      </c>
      <c r="C51" s="11">
        <v>24.36</v>
      </c>
      <c r="D51" s="11">
        <v>25.54</v>
      </c>
      <c r="E51" s="11">
        <v>24.3</v>
      </c>
      <c r="F51" s="11">
        <v>25.1</v>
      </c>
      <c r="G51" s="11">
        <v>24.58</v>
      </c>
      <c r="H51" s="11">
        <v>0.52</v>
      </c>
      <c r="I51" s="11">
        <v>2.1155</v>
      </c>
      <c r="J51" s="12">
        <v>222788.39</v>
      </c>
      <c r="K51" s="13">
        <v>557086.802</v>
      </c>
      <c r="L51" t="str">
        <f>'300638.SZ_元数据'!$B$5</f>
        <v>事件库1.csv + 股票日行情CSV</v>
      </c>
      <c r="M51" t="s">
        <v>104</v>
      </c>
      <c r="N51" s="3">
        <f>'300638.SZ_元数据'!$B$4</f>
        <v>45063</v>
      </c>
      <c r="O51">
        <f t="shared" si="0"/>
        <v>50</v>
      </c>
      <c r="P51">
        <f t="shared" si="1"/>
        <v>60</v>
      </c>
      <c r="Q51">
        <f t="shared" si="2"/>
        <v>-10</v>
      </c>
      <c r="R51" t="str">
        <f t="shared" si="3"/>
        <v>事件前100个交易日</v>
      </c>
    </row>
    <row r="52" spans="1:19">
      <c r="A52" t="s">
        <v>38</v>
      </c>
      <c r="B52" s="3">
        <v>45050</v>
      </c>
      <c r="C52" s="11">
        <v>24.8</v>
      </c>
      <c r="D52" s="11">
        <v>24.8</v>
      </c>
      <c r="E52" s="11">
        <v>23.32</v>
      </c>
      <c r="F52" s="11">
        <v>23.88</v>
      </c>
      <c r="G52" s="11">
        <v>25.1</v>
      </c>
      <c r="H52" s="11">
        <v>-1.22</v>
      </c>
      <c r="I52" s="11">
        <v>-4.8606</v>
      </c>
      <c r="J52" s="12">
        <v>182984.06</v>
      </c>
      <c r="K52" s="13">
        <v>438301.29</v>
      </c>
      <c r="L52" t="str">
        <f>'300638.SZ_元数据'!$B$5</f>
        <v>事件库1.csv + 股票日行情CSV</v>
      </c>
      <c r="M52" t="s">
        <v>104</v>
      </c>
      <c r="N52" s="3">
        <f>'300638.SZ_元数据'!$B$4</f>
        <v>45063</v>
      </c>
      <c r="O52">
        <f t="shared" si="0"/>
        <v>51</v>
      </c>
      <c r="P52">
        <f t="shared" si="1"/>
        <v>60</v>
      </c>
      <c r="Q52">
        <f t="shared" si="2"/>
        <v>-9</v>
      </c>
      <c r="R52" t="str">
        <f t="shared" si="3"/>
        <v>事件前100个交易日</v>
      </c>
    </row>
    <row r="53" spans="1:19">
      <c r="A53" t="s">
        <v>38</v>
      </c>
      <c r="B53" s="3">
        <v>45051</v>
      </c>
      <c r="C53" s="11">
        <v>23.83</v>
      </c>
      <c r="D53" s="11">
        <v>25.36</v>
      </c>
      <c r="E53" s="11">
        <v>23.33</v>
      </c>
      <c r="F53" s="11">
        <v>25.18</v>
      </c>
      <c r="G53" s="11">
        <v>23.88</v>
      </c>
      <c r="H53" s="11">
        <v>1.3</v>
      </c>
      <c r="I53" s="11">
        <v>5.4439</v>
      </c>
      <c r="J53" s="12">
        <v>206626.17</v>
      </c>
      <c r="K53" s="13">
        <v>505496.259</v>
      </c>
      <c r="L53" t="str">
        <f>'300638.SZ_元数据'!$B$5</f>
        <v>事件库1.csv + 股票日行情CSV</v>
      </c>
      <c r="M53" t="s">
        <v>104</v>
      </c>
      <c r="N53" s="3">
        <f>'300638.SZ_元数据'!$B$4</f>
        <v>45063</v>
      </c>
      <c r="O53">
        <f t="shared" si="0"/>
        <v>52</v>
      </c>
      <c r="P53">
        <f t="shared" si="1"/>
        <v>60</v>
      </c>
      <c r="Q53">
        <f t="shared" si="2"/>
        <v>-8</v>
      </c>
      <c r="R53" t="str">
        <f t="shared" si="3"/>
        <v>事件前100个交易日</v>
      </c>
    </row>
    <row r="54" spans="1:19">
      <c r="A54" t="s">
        <v>38</v>
      </c>
      <c r="B54" s="3">
        <v>45054</v>
      </c>
      <c r="C54" s="11">
        <v>25.11</v>
      </c>
      <c r="D54" s="11">
        <v>25.68</v>
      </c>
      <c r="E54" s="11">
        <v>24.65</v>
      </c>
      <c r="F54" s="11">
        <v>25.4</v>
      </c>
      <c r="G54" s="11">
        <v>25.18</v>
      </c>
      <c r="H54" s="11">
        <v>0.22</v>
      </c>
      <c r="I54" s="11">
        <v>0.8737</v>
      </c>
      <c r="J54" s="12">
        <v>201603.56</v>
      </c>
      <c r="K54" s="13">
        <v>508232.121</v>
      </c>
      <c r="L54" t="str">
        <f>'300638.SZ_元数据'!$B$5</f>
        <v>事件库1.csv + 股票日行情CSV</v>
      </c>
      <c r="M54" t="s">
        <v>104</v>
      </c>
      <c r="N54" s="3">
        <f>'300638.SZ_元数据'!$B$4</f>
        <v>45063</v>
      </c>
      <c r="O54">
        <f t="shared" si="0"/>
        <v>53</v>
      </c>
      <c r="P54">
        <f t="shared" si="1"/>
        <v>60</v>
      </c>
      <c r="Q54">
        <f t="shared" si="2"/>
        <v>-7</v>
      </c>
      <c r="R54" t="str">
        <f t="shared" si="3"/>
        <v>事件前100个交易日</v>
      </c>
    </row>
    <row r="55" spans="1:19">
      <c r="A55" t="s">
        <v>38</v>
      </c>
      <c r="B55" s="3">
        <v>45055</v>
      </c>
      <c r="C55" s="11">
        <v>25.3</v>
      </c>
      <c r="D55" s="11">
        <v>25.3</v>
      </c>
      <c r="E55" s="11">
        <v>23.5</v>
      </c>
      <c r="F55" s="11">
        <v>23.62</v>
      </c>
      <c r="G55" s="11">
        <v>25.4</v>
      </c>
      <c r="H55" s="11">
        <v>-1.78</v>
      </c>
      <c r="I55" s="11">
        <v>-7.0079</v>
      </c>
      <c r="J55" s="12">
        <v>177714.46</v>
      </c>
      <c r="K55" s="13">
        <v>430466.121</v>
      </c>
      <c r="L55" t="str">
        <f>'300638.SZ_元数据'!$B$5</f>
        <v>事件库1.csv + 股票日行情CSV</v>
      </c>
      <c r="M55" t="s">
        <v>104</v>
      </c>
      <c r="N55" s="3">
        <f>'300638.SZ_元数据'!$B$4</f>
        <v>45063</v>
      </c>
      <c r="O55">
        <f t="shared" si="0"/>
        <v>54</v>
      </c>
      <c r="P55">
        <f t="shared" si="1"/>
        <v>60</v>
      </c>
      <c r="Q55">
        <f t="shared" si="2"/>
        <v>-6</v>
      </c>
      <c r="R55" t="str">
        <f t="shared" si="3"/>
        <v>事件前100个交易日</v>
      </c>
    </row>
    <row r="56" spans="1:19">
      <c r="A56" t="s">
        <v>38</v>
      </c>
      <c r="B56" s="3">
        <v>45056</v>
      </c>
      <c r="C56" s="11">
        <v>23.57</v>
      </c>
      <c r="D56" s="11">
        <v>24.58</v>
      </c>
      <c r="E56" s="11">
        <v>23.22</v>
      </c>
      <c r="F56" s="11">
        <v>24.3</v>
      </c>
      <c r="G56" s="11">
        <v>23.62</v>
      </c>
      <c r="H56" s="11">
        <v>0.68</v>
      </c>
      <c r="I56" s="11">
        <v>2.8789</v>
      </c>
      <c r="J56" s="12">
        <v>143029.66</v>
      </c>
      <c r="K56" s="13">
        <v>342031.132</v>
      </c>
      <c r="L56" t="str">
        <f>'300638.SZ_元数据'!$B$5</f>
        <v>事件库1.csv + 股票日行情CSV</v>
      </c>
      <c r="M56" t="s">
        <v>104</v>
      </c>
      <c r="N56" s="3">
        <f>'300638.SZ_元数据'!$B$4</f>
        <v>45063</v>
      </c>
      <c r="O56">
        <f t="shared" si="0"/>
        <v>55</v>
      </c>
      <c r="P56">
        <f t="shared" si="1"/>
        <v>60</v>
      </c>
      <c r="Q56">
        <f t="shared" si="2"/>
        <v>-5</v>
      </c>
      <c r="R56" t="str">
        <f t="shared" si="3"/>
        <v>事件前100个交易日</v>
      </c>
    </row>
    <row r="57" spans="1:19">
      <c r="A57" t="s">
        <v>38</v>
      </c>
      <c r="B57" s="3">
        <v>45057</v>
      </c>
      <c r="C57" s="11">
        <v>24.13</v>
      </c>
      <c r="D57" s="11">
        <v>24.24</v>
      </c>
      <c r="E57" s="11">
        <v>23.44</v>
      </c>
      <c r="F57" s="11">
        <v>23.66</v>
      </c>
      <c r="G57" s="11">
        <v>24.3</v>
      </c>
      <c r="H57" s="11">
        <v>-0.64</v>
      </c>
      <c r="I57" s="11">
        <v>-2.6337</v>
      </c>
      <c r="J57" s="12">
        <v>88651.59</v>
      </c>
      <c r="K57" s="13">
        <v>210094.813</v>
      </c>
      <c r="L57" t="str">
        <f>'300638.SZ_元数据'!$B$5</f>
        <v>事件库1.csv + 股票日行情CSV</v>
      </c>
      <c r="M57" t="s">
        <v>104</v>
      </c>
      <c r="N57" s="3">
        <f>'300638.SZ_元数据'!$B$4</f>
        <v>45063</v>
      </c>
      <c r="O57">
        <f t="shared" si="0"/>
        <v>56</v>
      </c>
      <c r="P57">
        <f t="shared" si="1"/>
        <v>60</v>
      </c>
      <c r="Q57">
        <f t="shared" si="2"/>
        <v>-4</v>
      </c>
      <c r="R57" t="str">
        <f t="shared" si="3"/>
        <v>事件前100个交易日</v>
      </c>
    </row>
    <row r="58" spans="1:19">
      <c r="A58" t="s">
        <v>38</v>
      </c>
      <c r="B58" s="3">
        <v>45058</v>
      </c>
      <c r="C58" s="11">
        <v>23.55</v>
      </c>
      <c r="D58" s="11">
        <v>23.72</v>
      </c>
      <c r="E58" s="11">
        <v>22.02</v>
      </c>
      <c r="F58" s="11">
        <v>22.11</v>
      </c>
      <c r="G58" s="11">
        <v>23.66</v>
      </c>
      <c r="H58" s="11">
        <v>-1.55</v>
      </c>
      <c r="I58" s="11">
        <v>-6.5511</v>
      </c>
      <c r="J58" s="12">
        <v>143160.57</v>
      </c>
      <c r="K58" s="13">
        <v>325135.562</v>
      </c>
      <c r="L58" t="str">
        <f>'300638.SZ_元数据'!$B$5</f>
        <v>事件库1.csv + 股票日行情CSV</v>
      </c>
      <c r="M58" t="s">
        <v>104</v>
      </c>
      <c r="N58" s="3">
        <f>'300638.SZ_元数据'!$B$4</f>
        <v>45063</v>
      </c>
      <c r="O58">
        <f t="shared" si="0"/>
        <v>57</v>
      </c>
      <c r="P58">
        <f t="shared" si="1"/>
        <v>60</v>
      </c>
      <c r="Q58">
        <f t="shared" si="2"/>
        <v>-3</v>
      </c>
      <c r="R58" t="str">
        <f t="shared" si="3"/>
        <v>事件前100个交易日</v>
      </c>
    </row>
    <row r="59" spans="1:19">
      <c r="A59" t="s">
        <v>38</v>
      </c>
      <c r="B59" s="3">
        <v>45061</v>
      </c>
      <c r="C59" s="11">
        <v>22.15</v>
      </c>
      <c r="D59" s="11">
        <v>22.9</v>
      </c>
      <c r="E59" s="11">
        <v>22.15</v>
      </c>
      <c r="F59" s="11">
        <v>22.85</v>
      </c>
      <c r="G59" s="11">
        <v>22.11</v>
      </c>
      <c r="H59" s="11">
        <v>0.74</v>
      </c>
      <c r="I59" s="11">
        <v>3.3469</v>
      </c>
      <c r="J59" s="12">
        <v>96361.07</v>
      </c>
      <c r="K59" s="13">
        <v>218233.241</v>
      </c>
      <c r="L59" t="str">
        <f>'300638.SZ_元数据'!$B$5</f>
        <v>事件库1.csv + 股票日行情CSV</v>
      </c>
      <c r="M59" t="s">
        <v>104</v>
      </c>
      <c r="N59" s="3">
        <f>'300638.SZ_元数据'!$B$4</f>
        <v>45063</v>
      </c>
      <c r="O59">
        <f t="shared" si="0"/>
        <v>58</v>
      </c>
      <c r="P59">
        <f t="shared" si="1"/>
        <v>60</v>
      </c>
      <c r="Q59">
        <f t="shared" si="2"/>
        <v>-2</v>
      </c>
      <c r="R59" t="str">
        <f t="shared" si="3"/>
        <v>事件前100个交易日</v>
      </c>
    </row>
    <row r="60" spans="1:19">
      <c r="A60" t="s">
        <v>38</v>
      </c>
      <c r="B60" s="3">
        <v>45062</v>
      </c>
      <c r="C60" s="11">
        <v>22.85</v>
      </c>
      <c r="D60" s="11">
        <v>22.88</v>
      </c>
      <c r="E60" s="11">
        <v>21.92</v>
      </c>
      <c r="F60" s="11">
        <v>22.12</v>
      </c>
      <c r="G60" s="11">
        <v>22.85</v>
      </c>
      <c r="H60" s="11">
        <v>-0.73</v>
      </c>
      <c r="I60" s="11">
        <v>-3.1947</v>
      </c>
      <c r="J60" s="12">
        <v>87374.54</v>
      </c>
      <c r="K60" s="13">
        <v>193826.945</v>
      </c>
      <c r="L60" t="str">
        <f>'300638.SZ_元数据'!$B$5</f>
        <v>事件库1.csv + 股票日行情CSV</v>
      </c>
      <c r="M60" t="s">
        <v>104</v>
      </c>
      <c r="N60" s="3">
        <f>'300638.SZ_元数据'!$B$4</f>
        <v>45063</v>
      </c>
      <c r="O60">
        <f t="shared" si="0"/>
        <v>59</v>
      </c>
      <c r="P60">
        <f t="shared" si="1"/>
        <v>60</v>
      </c>
      <c r="Q60">
        <f t="shared" si="2"/>
        <v>-1</v>
      </c>
      <c r="R60" t="str">
        <f t="shared" si="3"/>
        <v>事件前100个交易日</v>
      </c>
    </row>
    <row r="61" spans="1:19">
      <c r="A61" t="s">
        <v>38</v>
      </c>
      <c r="B61" s="3">
        <v>45063</v>
      </c>
      <c r="C61" s="11">
        <v>22.1</v>
      </c>
      <c r="D61" s="11">
        <v>22.38</v>
      </c>
      <c r="E61" s="11">
        <v>21.92</v>
      </c>
      <c r="F61" s="11">
        <v>22.27</v>
      </c>
      <c r="G61" s="11">
        <v>22.12</v>
      </c>
      <c r="H61" s="11">
        <v>0.15</v>
      </c>
      <c r="I61" s="11">
        <v>0.6781</v>
      </c>
      <c r="J61" s="12">
        <v>62100.47</v>
      </c>
      <c r="K61" s="13">
        <v>137605.196</v>
      </c>
      <c r="L61" t="str">
        <f>'300638.SZ_元数据'!$B$5</f>
        <v>事件库1.csv + 股票日行情CSV</v>
      </c>
      <c r="M61" t="s">
        <v>104</v>
      </c>
      <c r="N61" s="3">
        <f>'300638.SZ_元数据'!$B$4</f>
        <v>45063</v>
      </c>
      <c r="O61">
        <f t="shared" si="0"/>
        <v>60</v>
      </c>
      <c r="P61">
        <f t="shared" si="1"/>
        <v>60</v>
      </c>
      <c r="Q61">
        <f t="shared" si="2"/>
        <v>0</v>
      </c>
      <c r="R61" t="str">
        <f t="shared" si="3"/>
        <v>事件当日</v>
      </c>
      <c r="S61" t="s">
        <v>139</v>
      </c>
    </row>
    <row r="62" spans="1:19">
      <c r="A62" t="s">
        <v>38</v>
      </c>
      <c r="B62" s="3">
        <v>45064</v>
      </c>
      <c r="C62" s="11">
        <v>22.51</v>
      </c>
      <c r="D62" s="11">
        <v>25.08</v>
      </c>
      <c r="E62" s="11">
        <v>22.51</v>
      </c>
      <c r="F62" s="11">
        <v>24.47</v>
      </c>
      <c r="G62" s="11">
        <v>22.27</v>
      </c>
      <c r="H62" s="11">
        <v>2.2</v>
      </c>
      <c r="I62" s="11">
        <v>9.8788</v>
      </c>
      <c r="J62" s="12">
        <v>293601.88</v>
      </c>
      <c r="K62" s="13">
        <v>709315.94</v>
      </c>
      <c r="L62" t="str">
        <f>'300638.SZ_元数据'!$B$5</f>
        <v>事件库1.csv + 股票日行情CSV</v>
      </c>
      <c r="M62" t="s">
        <v>104</v>
      </c>
      <c r="N62" s="3">
        <f>'300638.SZ_元数据'!$B$4</f>
        <v>45063</v>
      </c>
      <c r="O62">
        <f t="shared" si="0"/>
        <v>61</v>
      </c>
      <c r="P62">
        <f t="shared" si="1"/>
        <v>60</v>
      </c>
      <c r="Q62">
        <f t="shared" si="2"/>
        <v>1</v>
      </c>
      <c r="R62" t="str">
        <f t="shared" si="3"/>
        <v>事件后5个交易日</v>
      </c>
    </row>
    <row r="63" spans="1:19">
      <c r="A63" t="s">
        <v>38</v>
      </c>
      <c r="B63" s="3">
        <v>45065</v>
      </c>
      <c r="C63" s="11">
        <v>24.24</v>
      </c>
      <c r="D63" s="11">
        <v>26.46</v>
      </c>
      <c r="E63" s="11">
        <v>24.2</v>
      </c>
      <c r="F63" s="11">
        <v>26.01</v>
      </c>
      <c r="G63" s="11">
        <v>24.47</v>
      </c>
      <c r="H63" s="11">
        <v>1.54</v>
      </c>
      <c r="I63" s="11">
        <v>6.2934</v>
      </c>
      <c r="J63" s="12">
        <v>379438.94</v>
      </c>
      <c r="K63" s="13">
        <v>965817.577</v>
      </c>
      <c r="L63" t="str">
        <f>'300638.SZ_元数据'!$B$5</f>
        <v>事件库1.csv + 股票日行情CSV</v>
      </c>
      <c r="M63" t="s">
        <v>104</v>
      </c>
      <c r="N63" s="3">
        <f>'300638.SZ_元数据'!$B$4</f>
        <v>45063</v>
      </c>
      <c r="O63">
        <f t="shared" si="0"/>
        <v>62</v>
      </c>
      <c r="P63">
        <f t="shared" si="1"/>
        <v>60</v>
      </c>
      <c r="Q63">
        <f t="shared" si="2"/>
        <v>2</v>
      </c>
      <c r="R63" t="str">
        <f t="shared" si="3"/>
        <v>事件后5个交易日</v>
      </c>
    </row>
    <row r="64" spans="1:19">
      <c r="A64" t="s">
        <v>38</v>
      </c>
      <c r="B64" s="3">
        <v>45068</v>
      </c>
      <c r="C64" s="11">
        <v>25.55</v>
      </c>
      <c r="D64" s="11">
        <v>26.22</v>
      </c>
      <c r="E64" s="11">
        <v>25.02</v>
      </c>
      <c r="F64" s="11">
        <v>26.04</v>
      </c>
      <c r="G64" s="11">
        <v>26.01</v>
      </c>
      <c r="H64" s="11">
        <v>0.03</v>
      </c>
      <c r="I64" s="11">
        <v>0.1153</v>
      </c>
      <c r="J64" s="12">
        <v>235978.63</v>
      </c>
      <c r="K64" s="13">
        <v>611342.366</v>
      </c>
      <c r="L64" t="str">
        <f>'300638.SZ_元数据'!$B$5</f>
        <v>事件库1.csv + 股票日行情CSV</v>
      </c>
      <c r="M64" t="s">
        <v>104</v>
      </c>
      <c r="N64" s="3">
        <f>'300638.SZ_元数据'!$B$4</f>
        <v>45063</v>
      </c>
      <c r="O64">
        <f t="shared" si="0"/>
        <v>63</v>
      </c>
      <c r="P64">
        <f t="shared" si="1"/>
        <v>60</v>
      </c>
      <c r="Q64">
        <f t="shared" si="2"/>
        <v>3</v>
      </c>
      <c r="R64" t="str">
        <f t="shared" si="3"/>
        <v>事件后5个交易日</v>
      </c>
    </row>
  </sheetData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40</v>
      </c>
    </row>
    <row r="3" spans="1:2">
      <c r="A3" s="5" t="s">
        <v>75</v>
      </c>
      <c r="B3" s="8" t="s">
        <v>41</v>
      </c>
    </row>
    <row r="4" spans="1:2">
      <c r="A4" s="5" t="s">
        <v>2</v>
      </c>
      <c r="B4" s="7">
        <v>45532</v>
      </c>
    </row>
    <row r="5" spans="1:2">
      <c r="A5" s="5" t="s">
        <v>76</v>
      </c>
      <c r="B5" s="8" t="s">
        <v>115</v>
      </c>
    </row>
    <row r="6" spans="1:2">
      <c r="A6" s="5" t="s">
        <v>78</v>
      </c>
      <c r="B6" s="8" t="s">
        <v>116</v>
      </c>
    </row>
    <row r="7" spans="1:2">
      <c r="A7" s="5" t="s">
        <v>84</v>
      </c>
      <c r="B7" t="s">
        <v>117</v>
      </c>
    </row>
    <row r="8" spans="1:2">
      <c r="A8" s="5" t="s">
        <v>118</v>
      </c>
      <c r="B8" s="3">
        <v>45532</v>
      </c>
    </row>
    <row r="9" spans="1:2">
      <c r="A9" s="5" t="s">
        <v>1</v>
      </c>
      <c r="B9">
        <v>40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42</v>
      </c>
    </row>
    <row r="12" ht="29" customHeight="1" spans="1:2">
      <c r="A12" s="5" t="s">
        <v>80</v>
      </c>
      <c r="B12" s="14" t="s">
        <v>140</v>
      </c>
    </row>
    <row r="13" spans="1:2">
      <c r="A13" s="5" t="s">
        <v>120</v>
      </c>
      <c r="B13" t="s">
        <v>121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2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40</v>
      </c>
      <c r="B2" s="3">
        <v>45440</v>
      </c>
      <c r="C2" s="11">
        <v>11.33</v>
      </c>
      <c r="D2" s="11">
        <v>11.47</v>
      </c>
      <c r="E2" s="11">
        <v>11.1</v>
      </c>
      <c r="F2" s="11">
        <v>11.11</v>
      </c>
      <c r="G2" s="11">
        <v>11.55</v>
      </c>
      <c r="H2" s="11">
        <v>-0.44</v>
      </c>
      <c r="I2" s="11">
        <v>-3.8095</v>
      </c>
      <c r="J2" s="12">
        <v>444352.72</v>
      </c>
      <c r="K2" s="13">
        <v>499574.556</v>
      </c>
      <c r="L2" t="str">
        <f>'300738.SZ_元数据'!$B$5</f>
        <v>事件库1.csv + 股票日行情CSV</v>
      </c>
      <c r="M2" t="s">
        <v>104</v>
      </c>
      <c r="N2" s="3">
        <f>'300738.SZ_元数据'!$B$4</f>
        <v>45532</v>
      </c>
      <c r="O2">
        <f t="shared" ref="O2:O65" si="0">ROW()-1</f>
        <v>1</v>
      </c>
      <c r="P2">
        <f t="shared" ref="P2:P65" si="1">IFERROR(MATCH($N2,$B$2:$B$72,0),"")</f>
        <v>66</v>
      </c>
      <c r="Q2">
        <f t="shared" ref="Q2:Q65" si="2">IF(OR($P2="",$O2=""),"",$O2-$P2)</f>
        <v>-65</v>
      </c>
      <c r="R2" t="str">
        <f t="shared" ref="R2:R65" si="3">IF($Q2="","",IF(AND($Q2&gt;=-100,$Q2&lt;=-1),"事件前100个交易日",IF(AND($Q2&gt;=1,$Q2&lt;=5),"事件后5个交易日",IF($Q2=0,"事件当日","其他区间"))))</f>
        <v>事件前100个交易日</v>
      </c>
    </row>
    <row r="3" spans="1:19">
      <c r="A3" t="s">
        <v>40</v>
      </c>
      <c r="B3" s="3">
        <v>45441</v>
      </c>
      <c r="C3" s="11">
        <v>11.09</v>
      </c>
      <c r="D3" s="11">
        <v>11.43</v>
      </c>
      <c r="E3" s="11">
        <v>11</v>
      </c>
      <c r="F3" s="11">
        <v>11.18</v>
      </c>
      <c r="G3" s="11">
        <v>11.11</v>
      </c>
      <c r="H3" s="11">
        <v>0.07</v>
      </c>
      <c r="I3" s="11">
        <v>0.6301</v>
      </c>
      <c r="J3" s="12">
        <v>366795.14</v>
      </c>
      <c r="K3" s="13">
        <v>409729.513</v>
      </c>
      <c r="L3" t="str">
        <f>'300738.SZ_元数据'!$B$5</f>
        <v>事件库1.csv + 股票日行情CSV</v>
      </c>
      <c r="M3" t="s">
        <v>104</v>
      </c>
      <c r="N3" s="3">
        <f>'300738.SZ_元数据'!$B$4</f>
        <v>45532</v>
      </c>
      <c r="O3">
        <f t="shared" si="0"/>
        <v>2</v>
      </c>
      <c r="P3">
        <f t="shared" si="1"/>
        <v>66</v>
      </c>
      <c r="Q3">
        <f t="shared" si="2"/>
        <v>-64</v>
      </c>
      <c r="R3" t="str">
        <f t="shared" si="3"/>
        <v>事件前100个交易日</v>
      </c>
    </row>
    <row r="4" spans="1:19">
      <c r="A4" t="s">
        <v>40</v>
      </c>
      <c r="B4" s="3">
        <v>45442</v>
      </c>
      <c r="C4" s="11">
        <v>11.02</v>
      </c>
      <c r="D4" s="11">
        <v>11.06</v>
      </c>
      <c r="E4" s="11">
        <v>10.75</v>
      </c>
      <c r="F4" s="11">
        <v>10.81</v>
      </c>
      <c r="G4" s="11">
        <v>11.18</v>
      </c>
      <c r="H4" s="11">
        <v>-0.37</v>
      </c>
      <c r="I4" s="11">
        <v>-3.3095</v>
      </c>
      <c r="J4" s="12">
        <v>414145.87</v>
      </c>
      <c r="K4" s="13">
        <v>449474.261</v>
      </c>
      <c r="L4" t="str">
        <f>'300738.SZ_元数据'!$B$5</f>
        <v>事件库1.csv + 股票日行情CSV</v>
      </c>
      <c r="M4" t="s">
        <v>104</v>
      </c>
      <c r="N4" s="3">
        <f>'300738.SZ_元数据'!$B$4</f>
        <v>45532</v>
      </c>
      <c r="O4">
        <f t="shared" si="0"/>
        <v>3</v>
      </c>
      <c r="P4">
        <f t="shared" si="1"/>
        <v>66</v>
      </c>
      <c r="Q4">
        <f t="shared" si="2"/>
        <v>-63</v>
      </c>
      <c r="R4" t="str">
        <f t="shared" si="3"/>
        <v>事件前100个交易日</v>
      </c>
    </row>
    <row r="5" spans="1:19">
      <c r="A5" t="s">
        <v>40</v>
      </c>
      <c r="B5" s="3">
        <v>45443</v>
      </c>
      <c r="C5" s="11">
        <v>10.78</v>
      </c>
      <c r="D5" s="11">
        <v>11.27</v>
      </c>
      <c r="E5" s="11">
        <v>10.78</v>
      </c>
      <c r="F5" s="11">
        <v>11.01</v>
      </c>
      <c r="G5" s="11">
        <v>10.81</v>
      </c>
      <c r="H5" s="11">
        <v>0.2</v>
      </c>
      <c r="I5" s="11">
        <v>1.8501</v>
      </c>
      <c r="J5" s="12">
        <v>419579.55</v>
      </c>
      <c r="K5" s="13">
        <v>464175.597</v>
      </c>
      <c r="L5" t="str">
        <f>'300738.SZ_元数据'!$B$5</f>
        <v>事件库1.csv + 股票日行情CSV</v>
      </c>
      <c r="M5" t="s">
        <v>104</v>
      </c>
      <c r="N5" s="3">
        <f>'300738.SZ_元数据'!$B$4</f>
        <v>45532</v>
      </c>
      <c r="O5">
        <f t="shared" si="0"/>
        <v>4</v>
      </c>
      <c r="P5">
        <f t="shared" si="1"/>
        <v>66</v>
      </c>
      <c r="Q5">
        <f t="shared" si="2"/>
        <v>-62</v>
      </c>
      <c r="R5" t="str">
        <f t="shared" si="3"/>
        <v>事件前100个交易日</v>
      </c>
    </row>
    <row r="6" spans="1:19">
      <c r="A6" t="s">
        <v>40</v>
      </c>
      <c r="B6" s="3">
        <v>45446</v>
      </c>
      <c r="C6" s="11">
        <v>10.9</v>
      </c>
      <c r="D6" s="11">
        <v>11.36</v>
      </c>
      <c r="E6" s="11">
        <v>10.9</v>
      </c>
      <c r="F6" s="11">
        <v>11.19</v>
      </c>
      <c r="G6" s="11">
        <v>11.01</v>
      </c>
      <c r="H6" s="11">
        <v>0.18</v>
      </c>
      <c r="I6" s="11">
        <v>1.6349</v>
      </c>
      <c r="J6" s="12">
        <v>463520.24</v>
      </c>
      <c r="K6" s="13">
        <v>517560.194</v>
      </c>
      <c r="L6" t="str">
        <f>'300738.SZ_元数据'!$B$5</f>
        <v>事件库1.csv + 股票日行情CSV</v>
      </c>
      <c r="M6" t="s">
        <v>104</v>
      </c>
      <c r="N6" s="3">
        <f>'300738.SZ_元数据'!$B$4</f>
        <v>45532</v>
      </c>
      <c r="O6">
        <f t="shared" si="0"/>
        <v>5</v>
      </c>
      <c r="P6">
        <f t="shared" si="1"/>
        <v>66</v>
      </c>
      <c r="Q6">
        <f t="shared" si="2"/>
        <v>-61</v>
      </c>
      <c r="R6" t="str">
        <f t="shared" si="3"/>
        <v>事件前100个交易日</v>
      </c>
    </row>
    <row r="7" spans="1:19">
      <c r="A7" t="s">
        <v>40</v>
      </c>
      <c r="B7" s="3">
        <v>45447</v>
      </c>
      <c r="C7" s="11">
        <v>11.1</v>
      </c>
      <c r="D7" s="11">
        <v>11.19</v>
      </c>
      <c r="E7" s="11">
        <v>10.83</v>
      </c>
      <c r="F7" s="11">
        <v>11</v>
      </c>
      <c r="G7" s="11">
        <v>11.19</v>
      </c>
      <c r="H7" s="11">
        <v>-0.19</v>
      </c>
      <c r="I7" s="11">
        <v>-1.6979</v>
      </c>
      <c r="J7" s="12">
        <v>366424.52</v>
      </c>
      <c r="K7" s="13">
        <v>401948.248</v>
      </c>
      <c r="L7" t="str">
        <f>'300738.SZ_元数据'!$B$5</f>
        <v>事件库1.csv + 股票日行情CSV</v>
      </c>
      <c r="M7" t="s">
        <v>104</v>
      </c>
      <c r="N7" s="3">
        <f>'300738.SZ_元数据'!$B$4</f>
        <v>45532</v>
      </c>
      <c r="O7">
        <f t="shared" si="0"/>
        <v>6</v>
      </c>
      <c r="P7">
        <f t="shared" si="1"/>
        <v>66</v>
      </c>
      <c r="Q7">
        <f t="shared" si="2"/>
        <v>-60</v>
      </c>
      <c r="R7" t="str">
        <f t="shared" si="3"/>
        <v>事件前100个交易日</v>
      </c>
    </row>
    <row r="8" spans="1:19">
      <c r="A8" t="s">
        <v>40</v>
      </c>
      <c r="B8" s="3">
        <v>45448</v>
      </c>
      <c r="C8" s="11">
        <v>11</v>
      </c>
      <c r="D8" s="11">
        <v>11</v>
      </c>
      <c r="E8" s="11">
        <v>10.52</v>
      </c>
      <c r="F8" s="11">
        <v>10.52</v>
      </c>
      <c r="G8" s="11">
        <v>11</v>
      </c>
      <c r="H8" s="11">
        <v>-0.48</v>
      </c>
      <c r="I8" s="11">
        <v>-4.3636</v>
      </c>
      <c r="J8" s="12">
        <v>460242.41</v>
      </c>
      <c r="K8" s="13">
        <v>491351.481</v>
      </c>
      <c r="L8" t="str">
        <f>'300738.SZ_元数据'!$B$5</f>
        <v>事件库1.csv + 股票日行情CSV</v>
      </c>
      <c r="M8" t="s">
        <v>104</v>
      </c>
      <c r="N8" s="3">
        <f>'300738.SZ_元数据'!$B$4</f>
        <v>45532</v>
      </c>
      <c r="O8">
        <f t="shared" si="0"/>
        <v>7</v>
      </c>
      <c r="P8">
        <f t="shared" si="1"/>
        <v>66</v>
      </c>
      <c r="Q8">
        <f t="shared" si="2"/>
        <v>-59</v>
      </c>
      <c r="R8" t="str">
        <f t="shared" si="3"/>
        <v>事件前100个交易日</v>
      </c>
    </row>
    <row r="9" spans="1:19">
      <c r="A9" t="s">
        <v>40</v>
      </c>
      <c r="B9" s="3">
        <v>45449</v>
      </c>
      <c r="C9" s="11">
        <v>10.57</v>
      </c>
      <c r="D9" s="11">
        <v>10.75</v>
      </c>
      <c r="E9" s="11">
        <v>10.22</v>
      </c>
      <c r="F9" s="11">
        <v>10.26</v>
      </c>
      <c r="G9" s="11">
        <v>10.52</v>
      </c>
      <c r="H9" s="11">
        <v>-0.26</v>
      </c>
      <c r="I9" s="11">
        <v>-2.4715</v>
      </c>
      <c r="J9" s="12">
        <v>417317.81</v>
      </c>
      <c r="K9" s="13">
        <v>435069.995</v>
      </c>
      <c r="L9" t="str">
        <f>'300738.SZ_元数据'!$B$5</f>
        <v>事件库1.csv + 股票日行情CSV</v>
      </c>
      <c r="M9" t="s">
        <v>104</v>
      </c>
      <c r="N9" s="3">
        <f>'300738.SZ_元数据'!$B$4</f>
        <v>45532</v>
      </c>
      <c r="O9">
        <f t="shared" si="0"/>
        <v>8</v>
      </c>
      <c r="P9">
        <f t="shared" si="1"/>
        <v>66</v>
      </c>
      <c r="Q9">
        <f t="shared" si="2"/>
        <v>-58</v>
      </c>
      <c r="R9" t="str">
        <f t="shared" si="3"/>
        <v>事件前100个交易日</v>
      </c>
    </row>
    <row r="10" spans="1:19">
      <c r="A10" t="s">
        <v>40</v>
      </c>
      <c r="B10" s="3">
        <v>45450</v>
      </c>
      <c r="C10" s="11">
        <v>10.42</v>
      </c>
      <c r="D10" s="11">
        <v>10.48</v>
      </c>
      <c r="E10" s="11">
        <v>10.12</v>
      </c>
      <c r="F10" s="11">
        <v>10.35</v>
      </c>
      <c r="G10" s="11">
        <v>10.26</v>
      </c>
      <c r="H10" s="11">
        <v>0.09</v>
      </c>
      <c r="I10" s="11">
        <v>0.8772</v>
      </c>
      <c r="J10" s="12">
        <v>293531.25</v>
      </c>
      <c r="K10" s="13">
        <v>301892.771</v>
      </c>
      <c r="L10" t="str">
        <f>'300738.SZ_元数据'!$B$5</f>
        <v>事件库1.csv + 股票日行情CSV</v>
      </c>
      <c r="M10" t="s">
        <v>104</v>
      </c>
      <c r="N10" s="3">
        <f>'300738.SZ_元数据'!$B$4</f>
        <v>45532</v>
      </c>
      <c r="O10">
        <f t="shared" si="0"/>
        <v>9</v>
      </c>
      <c r="P10">
        <f t="shared" si="1"/>
        <v>66</v>
      </c>
      <c r="Q10">
        <f t="shared" si="2"/>
        <v>-57</v>
      </c>
      <c r="R10" t="str">
        <f t="shared" si="3"/>
        <v>事件前100个交易日</v>
      </c>
    </row>
    <row r="11" spans="1:19">
      <c r="A11" t="s">
        <v>40</v>
      </c>
      <c r="B11" s="3">
        <v>45454</v>
      </c>
      <c r="C11" s="11">
        <v>10.25</v>
      </c>
      <c r="D11" s="11">
        <v>10.54</v>
      </c>
      <c r="E11" s="11">
        <v>10.15</v>
      </c>
      <c r="F11" s="11">
        <v>10.48</v>
      </c>
      <c r="G11" s="11">
        <v>10.35</v>
      </c>
      <c r="H11" s="11">
        <v>0.13</v>
      </c>
      <c r="I11" s="11">
        <v>1.256</v>
      </c>
      <c r="J11" s="12">
        <v>279840.11</v>
      </c>
      <c r="K11" s="13">
        <v>290299.74</v>
      </c>
      <c r="L11" t="str">
        <f>'300738.SZ_元数据'!$B$5</f>
        <v>事件库1.csv + 股票日行情CSV</v>
      </c>
      <c r="M11" t="s">
        <v>104</v>
      </c>
      <c r="N11" s="3">
        <f>'300738.SZ_元数据'!$B$4</f>
        <v>45532</v>
      </c>
      <c r="O11">
        <f t="shared" si="0"/>
        <v>10</v>
      </c>
      <c r="P11">
        <f t="shared" si="1"/>
        <v>66</v>
      </c>
      <c r="Q11">
        <f t="shared" si="2"/>
        <v>-56</v>
      </c>
      <c r="R11" t="str">
        <f t="shared" si="3"/>
        <v>事件前100个交易日</v>
      </c>
    </row>
    <row r="12" spans="1:19">
      <c r="A12" t="s">
        <v>40</v>
      </c>
      <c r="B12" s="3">
        <v>45455</v>
      </c>
      <c r="C12" s="11">
        <v>10.4</v>
      </c>
      <c r="D12" s="11">
        <v>10.89</v>
      </c>
      <c r="E12" s="11">
        <v>10.4</v>
      </c>
      <c r="F12" s="11">
        <v>10.8</v>
      </c>
      <c r="G12" s="11">
        <v>10.48</v>
      </c>
      <c r="H12" s="11">
        <v>0.32</v>
      </c>
      <c r="I12" s="11">
        <v>3.0534</v>
      </c>
      <c r="J12" s="12">
        <v>440358.06</v>
      </c>
      <c r="K12" s="13">
        <v>472037.602</v>
      </c>
      <c r="L12" t="str">
        <f>'300738.SZ_元数据'!$B$5</f>
        <v>事件库1.csv + 股票日行情CSV</v>
      </c>
      <c r="M12" t="s">
        <v>104</v>
      </c>
      <c r="N12" s="3">
        <f>'300738.SZ_元数据'!$B$4</f>
        <v>45532</v>
      </c>
      <c r="O12">
        <f t="shared" si="0"/>
        <v>11</v>
      </c>
      <c r="P12">
        <f t="shared" si="1"/>
        <v>66</v>
      </c>
      <c r="Q12">
        <f t="shared" si="2"/>
        <v>-55</v>
      </c>
      <c r="R12" t="str">
        <f t="shared" si="3"/>
        <v>事件前100个交易日</v>
      </c>
    </row>
    <row r="13" spans="1:19">
      <c r="A13" t="s">
        <v>40</v>
      </c>
      <c r="B13" s="3">
        <v>45456</v>
      </c>
      <c r="C13" s="11">
        <v>10.92</v>
      </c>
      <c r="D13" s="11">
        <v>10.94</v>
      </c>
      <c r="E13" s="11">
        <v>10.6</v>
      </c>
      <c r="F13" s="11">
        <v>10.61</v>
      </c>
      <c r="G13" s="11">
        <v>10.8</v>
      </c>
      <c r="H13" s="11">
        <v>-0.19</v>
      </c>
      <c r="I13" s="11">
        <v>-1.7593</v>
      </c>
      <c r="J13" s="12">
        <v>391177.77</v>
      </c>
      <c r="K13" s="13">
        <v>420553.642</v>
      </c>
      <c r="L13" t="str">
        <f>'300738.SZ_元数据'!$B$5</f>
        <v>事件库1.csv + 股票日行情CSV</v>
      </c>
      <c r="M13" t="s">
        <v>104</v>
      </c>
      <c r="N13" s="3">
        <f>'300738.SZ_元数据'!$B$4</f>
        <v>45532</v>
      </c>
      <c r="O13">
        <f t="shared" si="0"/>
        <v>12</v>
      </c>
      <c r="P13">
        <f t="shared" si="1"/>
        <v>66</v>
      </c>
      <c r="Q13">
        <f t="shared" si="2"/>
        <v>-54</v>
      </c>
      <c r="R13" t="str">
        <f t="shared" si="3"/>
        <v>事件前100个交易日</v>
      </c>
    </row>
    <row r="14" spans="1:19">
      <c r="A14" t="s">
        <v>40</v>
      </c>
      <c r="B14" s="3">
        <v>45457</v>
      </c>
      <c r="C14" s="11">
        <v>10.6</v>
      </c>
      <c r="D14" s="11">
        <v>10.89</v>
      </c>
      <c r="E14" s="11">
        <v>10.52</v>
      </c>
      <c r="F14" s="11">
        <v>10.83</v>
      </c>
      <c r="G14" s="11">
        <v>10.61</v>
      </c>
      <c r="H14" s="11">
        <v>0.22</v>
      </c>
      <c r="I14" s="11">
        <v>2.0735</v>
      </c>
      <c r="J14" s="12">
        <v>373245.02</v>
      </c>
      <c r="K14" s="13">
        <v>402026.609</v>
      </c>
      <c r="L14" t="str">
        <f>'300738.SZ_元数据'!$B$5</f>
        <v>事件库1.csv + 股票日行情CSV</v>
      </c>
      <c r="M14" t="s">
        <v>104</v>
      </c>
      <c r="N14" s="3">
        <f>'300738.SZ_元数据'!$B$4</f>
        <v>45532</v>
      </c>
      <c r="O14">
        <f t="shared" si="0"/>
        <v>13</v>
      </c>
      <c r="P14">
        <f t="shared" si="1"/>
        <v>66</v>
      </c>
      <c r="Q14">
        <f t="shared" si="2"/>
        <v>-53</v>
      </c>
      <c r="R14" t="str">
        <f t="shared" si="3"/>
        <v>事件前100个交易日</v>
      </c>
    </row>
    <row r="15" spans="1:19">
      <c r="A15" t="s">
        <v>40</v>
      </c>
      <c r="B15" s="3">
        <v>45460</v>
      </c>
      <c r="C15" s="11">
        <v>10.75</v>
      </c>
      <c r="D15" s="11">
        <v>10.91</v>
      </c>
      <c r="E15" s="11">
        <v>10.7</v>
      </c>
      <c r="F15" s="11">
        <v>10.81</v>
      </c>
      <c r="G15" s="11">
        <v>10.83</v>
      </c>
      <c r="H15" s="11">
        <v>-0.02</v>
      </c>
      <c r="I15" s="11">
        <v>-0.1847</v>
      </c>
      <c r="J15" s="12">
        <v>270792.96</v>
      </c>
      <c r="K15" s="13">
        <v>292399.054</v>
      </c>
      <c r="L15" t="str">
        <f>'300738.SZ_元数据'!$B$5</f>
        <v>事件库1.csv + 股票日行情CSV</v>
      </c>
      <c r="M15" t="s">
        <v>104</v>
      </c>
      <c r="N15" s="3">
        <f>'300738.SZ_元数据'!$B$4</f>
        <v>45532</v>
      </c>
      <c r="O15">
        <f t="shared" si="0"/>
        <v>14</v>
      </c>
      <c r="P15">
        <f t="shared" si="1"/>
        <v>66</v>
      </c>
      <c r="Q15">
        <f t="shared" si="2"/>
        <v>-52</v>
      </c>
      <c r="R15" t="str">
        <f t="shared" si="3"/>
        <v>事件前100个交易日</v>
      </c>
    </row>
    <row r="16" spans="1:19">
      <c r="A16" t="s">
        <v>40</v>
      </c>
      <c r="B16" s="3">
        <v>45461</v>
      </c>
      <c r="C16" s="11">
        <v>10.81</v>
      </c>
      <c r="D16" s="11">
        <v>10.99</v>
      </c>
      <c r="E16" s="11">
        <v>10.78</v>
      </c>
      <c r="F16" s="11">
        <v>10.89</v>
      </c>
      <c r="G16" s="11">
        <v>10.81</v>
      </c>
      <c r="H16" s="11">
        <v>0.08</v>
      </c>
      <c r="I16" s="11">
        <v>0.7401</v>
      </c>
      <c r="J16" s="12">
        <v>321806.85</v>
      </c>
      <c r="K16" s="13">
        <v>350852.041</v>
      </c>
      <c r="L16" t="str">
        <f>'300738.SZ_元数据'!$B$5</f>
        <v>事件库1.csv + 股票日行情CSV</v>
      </c>
      <c r="M16" t="s">
        <v>104</v>
      </c>
      <c r="N16" s="3">
        <f>'300738.SZ_元数据'!$B$4</f>
        <v>45532</v>
      </c>
      <c r="O16">
        <f t="shared" si="0"/>
        <v>15</v>
      </c>
      <c r="P16">
        <f t="shared" si="1"/>
        <v>66</v>
      </c>
      <c r="Q16">
        <f t="shared" si="2"/>
        <v>-51</v>
      </c>
      <c r="R16" t="str">
        <f t="shared" si="3"/>
        <v>事件前100个交易日</v>
      </c>
    </row>
    <row r="17" spans="1:18">
      <c r="A17" t="s">
        <v>40</v>
      </c>
      <c r="B17" s="3">
        <v>45462</v>
      </c>
      <c r="C17" s="11">
        <v>10.89</v>
      </c>
      <c r="D17" s="11">
        <v>10.9</v>
      </c>
      <c r="E17" s="11">
        <v>10.56</v>
      </c>
      <c r="F17" s="11">
        <v>10.57</v>
      </c>
      <c r="G17" s="11">
        <v>10.89</v>
      </c>
      <c r="H17" s="11">
        <v>-0.32</v>
      </c>
      <c r="I17" s="11">
        <v>-2.9385</v>
      </c>
      <c r="J17" s="12">
        <v>380307.99</v>
      </c>
      <c r="K17" s="13">
        <v>406204.545</v>
      </c>
      <c r="L17" t="str">
        <f>'300738.SZ_元数据'!$B$5</f>
        <v>事件库1.csv + 股票日行情CSV</v>
      </c>
      <c r="M17" t="s">
        <v>104</v>
      </c>
      <c r="N17" s="3">
        <f>'300738.SZ_元数据'!$B$4</f>
        <v>45532</v>
      </c>
      <c r="O17">
        <f t="shared" si="0"/>
        <v>16</v>
      </c>
      <c r="P17">
        <f t="shared" si="1"/>
        <v>66</v>
      </c>
      <c r="Q17">
        <f t="shared" si="2"/>
        <v>-50</v>
      </c>
      <c r="R17" t="str">
        <f t="shared" si="3"/>
        <v>事件前100个交易日</v>
      </c>
    </row>
    <row r="18" spans="1:18">
      <c r="A18" t="s">
        <v>40</v>
      </c>
      <c r="B18" s="3">
        <v>45463</v>
      </c>
      <c r="C18" s="11">
        <v>10.5</v>
      </c>
      <c r="D18" s="11">
        <v>10.53</v>
      </c>
      <c r="E18" s="11">
        <v>10.03</v>
      </c>
      <c r="F18" s="11">
        <v>10.06</v>
      </c>
      <c r="G18" s="11">
        <v>10.57</v>
      </c>
      <c r="H18" s="11">
        <v>-0.51</v>
      </c>
      <c r="I18" s="11">
        <v>-4.825</v>
      </c>
      <c r="J18" s="12">
        <v>449958.97</v>
      </c>
      <c r="K18" s="13">
        <v>458195.008</v>
      </c>
      <c r="L18" t="str">
        <f>'300738.SZ_元数据'!$B$5</f>
        <v>事件库1.csv + 股票日行情CSV</v>
      </c>
      <c r="M18" t="s">
        <v>104</v>
      </c>
      <c r="N18" s="3">
        <f>'300738.SZ_元数据'!$B$4</f>
        <v>45532</v>
      </c>
      <c r="O18">
        <f t="shared" si="0"/>
        <v>17</v>
      </c>
      <c r="P18">
        <f t="shared" si="1"/>
        <v>66</v>
      </c>
      <c r="Q18">
        <f t="shared" si="2"/>
        <v>-49</v>
      </c>
      <c r="R18" t="str">
        <f t="shared" si="3"/>
        <v>事件前100个交易日</v>
      </c>
    </row>
    <row r="19" spans="1:18">
      <c r="A19" t="s">
        <v>40</v>
      </c>
      <c r="B19" s="3">
        <v>45464</v>
      </c>
      <c r="C19" s="11">
        <v>10.02</v>
      </c>
      <c r="D19" s="11">
        <v>10.19</v>
      </c>
      <c r="E19" s="11">
        <v>9.91</v>
      </c>
      <c r="F19" s="11">
        <v>10.17</v>
      </c>
      <c r="G19" s="11">
        <v>10.06</v>
      </c>
      <c r="H19" s="11">
        <v>0.11</v>
      </c>
      <c r="I19" s="11">
        <v>1.0934</v>
      </c>
      <c r="J19" s="12">
        <v>223919.81</v>
      </c>
      <c r="K19" s="13">
        <v>226689.398</v>
      </c>
      <c r="L19" t="str">
        <f>'300738.SZ_元数据'!$B$5</f>
        <v>事件库1.csv + 股票日行情CSV</v>
      </c>
      <c r="M19" t="s">
        <v>104</v>
      </c>
      <c r="N19" s="3">
        <f>'300738.SZ_元数据'!$B$4</f>
        <v>45532</v>
      </c>
      <c r="O19">
        <f t="shared" si="0"/>
        <v>18</v>
      </c>
      <c r="P19">
        <f t="shared" si="1"/>
        <v>66</v>
      </c>
      <c r="Q19">
        <f t="shared" si="2"/>
        <v>-48</v>
      </c>
      <c r="R19" t="str">
        <f t="shared" si="3"/>
        <v>事件前100个交易日</v>
      </c>
    </row>
    <row r="20" spans="1:18">
      <c r="A20" t="s">
        <v>40</v>
      </c>
      <c r="B20" s="3">
        <v>45467</v>
      </c>
      <c r="C20" s="11">
        <v>10.03</v>
      </c>
      <c r="D20" s="11">
        <v>10.14</v>
      </c>
      <c r="E20" s="11">
        <v>9.68</v>
      </c>
      <c r="F20" s="11">
        <v>9.72</v>
      </c>
      <c r="G20" s="11">
        <v>10.17</v>
      </c>
      <c r="H20" s="11">
        <v>-0.45</v>
      </c>
      <c r="I20" s="11">
        <v>-4.4248</v>
      </c>
      <c r="J20" s="12">
        <v>291733.95</v>
      </c>
      <c r="K20" s="13">
        <v>287962.308</v>
      </c>
      <c r="L20" t="str">
        <f>'300738.SZ_元数据'!$B$5</f>
        <v>事件库1.csv + 股票日行情CSV</v>
      </c>
      <c r="M20" t="s">
        <v>104</v>
      </c>
      <c r="N20" s="3">
        <f>'300738.SZ_元数据'!$B$4</f>
        <v>45532</v>
      </c>
      <c r="O20">
        <f t="shared" si="0"/>
        <v>19</v>
      </c>
      <c r="P20">
        <f t="shared" si="1"/>
        <v>66</v>
      </c>
      <c r="Q20">
        <f t="shared" si="2"/>
        <v>-47</v>
      </c>
      <c r="R20" t="str">
        <f t="shared" si="3"/>
        <v>事件前100个交易日</v>
      </c>
    </row>
    <row r="21" spans="1:18">
      <c r="A21" t="s">
        <v>40</v>
      </c>
      <c r="B21" s="3">
        <v>45468</v>
      </c>
      <c r="C21" s="11">
        <v>9.77</v>
      </c>
      <c r="D21" s="11">
        <v>9.8</v>
      </c>
      <c r="E21" s="11">
        <v>9.43</v>
      </c>
      <c r="F21" s="11">
        <v>9.57</v>
      </c>
      <c r="G21" s="11">
        <v>9.72</v>
      </c>
      <c r="H21" s="11">
        <v>-0.15</v>
      </c>
      <c r="I21" s="11">
        <v>-1.5432</v>
      </c>
      <c r="J21" s="12">
        <v>260300.81</v>
      </c>
      <c r="K21" s="13">
        <v>249681.456</v>
      </c>
      <c r="L21" t="str">
        <f>'300738.SZ_元数据'!$B$5</f>
        <v>事件库1.csv + 股票日行情CSV</v>
      </c>
      <c r="M21" t="s">
        <v>104</v>
      </c>
      <c r="N21" s="3">
        <f>'300738.SZ_元数据'!$B$4</f>
        <v>45532</v>
      </c>
      <c r="O21">
        <f t="shared" si="0"/>
        <v>20</v>
      </c>
      <c r="P21">
        <f t="shared" si="1"/>
        <v>66</v>
      </c>
      <c r="Q21">
        <f t="shared" si="2"/>
        <v>-46</v>
      </c>
      <c r="R21" t="str">
        <f t="shared" si="3"/>
        <v>事件前100个交易日</v>
      </c>
    </row>
    <row r="22" spans="1:18">
      <c r="A22" t="s">
        <v>40</v>
      </c>
      <c r="B22" s="3">
        <v>45469</v>
      </c>
      <c r="C22" s="11">
        <v>9.65</v>
      </c>
      <c r="D22" s="11">
        <v>10.39</v>
      </c>
      <c r="E22" s="11">
        <v>9.56</v>
      </c>
      <c r="F22" s="11">
        <v>10.3</v>
      </c>
      <c r="G22" s="11">
        <v>9.57</v>
      </c>
      <c r="H22" s="11">
        <v>0.73</v>
      </c>
      <c r="I22" s="11">
        <v>7.628</v>
      </c>
      <c r="J22" s="12">
        <v>486288.14</v>
      </c>
      <c r="K22" s="13">
        <v>487630.344</v>
      </c>
      <c r="L22" t="str">
        <f>'300738.SZ_元数据'!$B$5</f>
        <v>事件库1.csv + 股票日行情CSV</v>
      </c>
      <c r="M22" t="s">
        <v>104</v>
      </c>
      <c r="N22" s="3">
        <f>'300738.SZ_元数据'!$B$4</f>
        <v>45532</v>
      </c>
      <c r="O22">
        <f t="shared" si="0"/>
        <v>21</v>
      </c>
      <c r="P22">
        <f t="shared" si="1"/>
        <v>66</v>
      </c>
      <c r="Q22">
        <f t="shared" si="2"/>
        <v>-45</v>
      </c>
      <c r="R22" t="str">
        <f t="shared" si="3"/>
        <v>事件前100个交易日</v>
      </c>
    </row>
    <row r="23" spans="1:18">
      <c r="A23" t="s">
        <v>40</v>
      </c>
      <c r="B23" s="3">
        <v>45470</v>
      </c>
      <c r="C23" s="11">
        <v>10.2</v>
      </c>
      <c r="D23" s="11">
        <v>10.27</v>
      </c>
      <c r="E23" s="11">
        <v>9.95</v>
      </c>
      <c r="F23" s="11">
        <v>9.97</v>
      </c>
      <c r="G23" s="11">
        <v>10.3</v>
      </c>
      <c r="H23" s="11">
        <v>-0.33</v>
      </c>
      <c r="I23" s="11">
        <v>-3.2039</v>
      </c>
      <c r="J23" s="12">
        <v>318270.15</v>
      </c>
      <c r="K23" s="13">
        <v>321867.136</v>
      </c>
      <c r="L23" t="str">
        <f>'300738.SZ_元数据'!$B$5</f>
        <v>事件库1.csv + 股票日行情CSV</v>
      </c>
      <c r="M23" t="s">
        <v>104</v>
      </c>
      <c r="N23" s="3">
        <f>'300738.SZ_元数据'!$B$4</f>
        <v>45532</v>
      </c>
      <c r="O23">
        <f t="shared" si="0"/>
        <v>22</v>
      </c>
      <c r="P23">
        <f t="shared" si="1"/>
        <v>66</v>
      </c>
      <c r="Q23">
        <f t="shared" si="2"/>
        <v>-44</v>
      </c>
      <c r="R23" t="str">
        <f t="shared" si="3"/>
        <v>事件前100个交易日</v>
      </c>
    </row>
    <row r="24" spans="1:18">
      <c r="A24" t="s">
        <v>40</v>
      </c>
      <c r="B24" s="3">
        <v>45471</v>
      </c>
      <c r="C24" s="11">
        <v>9.95</v>
      </c>
      <c r="D24" s="11">
        <v>10.37</v>
      </c>
      <c r="E24" s="11">
        <v>9.93</v>
      </c>
      <c r="F24" s="11">
        <v>10.12</v>
      </c>
      <c r="G24" s="11">
        <v>9.97</v>
      </c>
      <c r="H24" s="11">
        <v>0.15</v>
      </c>
      <c r="I24" s="11">
        <v>1.5045</v>
      </c>
      <c r="J24" s="12">
        <v>379502.44</v>
      </c>
      <c r="K24" s="13">
        <v>387244.535</v>
      </c>
      <c r="L24" t="str">
        <f>'300738.SZ_元数据'!$B$5</f>
        <v>事件库1.csv + 股票日行情CSV</v>
      </c>
      <c r="M24" t="s">
        <v>104</v>
      </c>
      <c r="N24" s="3">
        <f>'300738.SZ_元数据'!$B$4</f>
        <v>45532</v>
      </c>
      <c r="O24">
        <f t="shared" si="0"/>
        <v>23</v>
      </c>
      <c r="P24">
        <f t="shared" si="1"/>
        <v>66</v>
      </c>
      <c r="Q24">
        <f t="shared" si="2"/>
        <v>-43</v>
      </c>
      <c r="R24" t="str">
        <f t="shared" si="3"/>
        <v>事件前100个交易日</v>
      </c>
    </row>
    <row r="25" spans="1:18">
      <c r="A25" t="s">
        <v>40</v>
      </c>
      <c r="B25" s="3">
        <v>45474</v>
      </c>
      <c r="C25" s="11">
        <v>10.03</v>
      </c>
      <c r="D25" s="11">
        <v>10.23</v>
      </c>
      <c r="E25" s="11">
        <v>9.9</v>
      </c>
      <c r="F25" s="11">
        <v>10.2</v>
      </c>
      <c r="G25" s="11">
        <v>10.12</v>
      </c>
      <c r="H25" s="11">
        <v>0.08</v>
      </c>
      <c r="I25" s="11">
        <v>0.7905</v>
      </c>
      <c r="J25" s="12">
        <v>256675.79</v>
      </c>
      <c r="K25" s="13">
        <v>258341.328</v>
      </c>
      <c r="L25" t="str">
        <f>'300738.SZ_元数据'!$B$5</f>
        <v>事件库1.csv + 股票日行情CSV</v>
      </c>
      <c r="M25" t="s">
        <v>104</v>
      </c>
      <c r="N25" s="3">
        <f>'300738.SZ_元数据'!$B$4</f>
        <v>45532</v>
      </c>
      <c r="O25">
        <f t="shared" si="0"/>
        <v>24</v>
      </c>
      <c r="P25">
        <f t="shared" si="1"/>
        <v>66</v>
      </c>
      <c r="Q25">
        <f t="shared" si="2"/>
        <v>-42</v>
      </c>
      <c r="R25" t="str">
        <f t="shared" si="3"/>
        <v>事件前100个交易日</v>
      </c>
    </row>
    <row r="26" spans="1:18">
      <c r="A26" t="s">
        <v>40</v>
      </c>
      <c r="B26" s="3">
        <v>45475</v>
      </c>
      <c r="C26" s="11">
        <v>10.18</v>
      </c>
      <c r="D26" s="11">
        <v>10.44</v>
      </c>
      <c r="E26" s="11">
        <v>10.11</v>
      </c>
      <c r="F26" s="11">
        <v>10.26</v>
      </c>
      <c r="G26" s="11">
        <v>10.18</v>
      </c>
      <c r="H26" s="11">
        <v>0.08</v>
      </c>
      <c r="I26" s="11">
        <v>0.7859</v>
      </c>
      <c r="J26" s="12">
        <v>331345.48</v>
      </c>
      <c r="K26" s="13">
        <v>341186.019</v>
      </c>
      <c r="L26" t="str">
        <f>'300738.SZ_元数据'!$B$5</f>
        <v>事件库1.csv + 股票日行情CSV</v>
      </c>
      <c r="M26" t="s">
        <v>104</v>
      </c>
      <c r="N26" s="3">
        <f>'300738.SZ_元数据'!$B$4</f>
        <v>45532</v>
      </c>
      <c r="O26">
        <f t="shared" si="0"/>
        <v>25</v>
      </c>
      <c r="P26">
        <f t="shared" si="1"/>
        <v>66</v>
      </c>
      <c r="Q26">
        <f t="shared" si="2"/>
        <v>-41</v>
      </c>
      <c r="R26" t="str">
        <f t="shared" si="3"/>
        <v>事件前100个交易日</v>
      </c>
    </row>
    <row r="27" spans="1:18">
      <c r="A27" t="s">
        <v>40</v>
      </c>
      <c r="B27" s="3">
        <v>45476</v>
      </c>
      <c r="C27" s="11">
        <v>10.22</v>
      </c>
      <c r="D27" s="11">
        <v>10.24</v>
      </c>
      <c r="E27" s="11">
        <v>9.96</v>
      </c>
      <c r="F27" s="11">
        <v>10</v>
      </c>
      <c r="G27" s="11">
        <v>10.26</v>
      </c>
      <c r="H27" s="11">
        <v>-0.26</v>
      </c>
      <c r="I27" s="11">
        <v>-2.5341</v>
      </c>
      <c r="J27" s="12">
        <v>241483.93</v>
      </c>
      <c r="K27" s="13">
        <v>242446.125</v>
      </c>
      <c r="L27" t="str">
        <f>'300738.SZ_元数据'!$B$5</f>
        <v>事件库1.csv + 股票日行情CSV</v>
      </c>
      <c r="M27" t="s">
        <v>104</v>
      </c>
      <c r="N27" s="3">
        <f>'300738.SZ_元数据'!$B$4</f>
        <v>45532</v>
      </c>
      <c r="O27">
        <f t="shared" si="0"/>
        <v>26</v>
      </c>
      <c r="P27">
        <f t="shared" si="1"/>
        <v>66</v>
      </c>
      <c r="Q27">
        <f t="shared" si="2"/>
        <v>-40</v>
      </c>
      <c r="R27" t="str">
        <f t="shared" si="3"/>
        <v>事件前100个交易日</v>
      </c>
    </row>
    <row r="28" spans="1:18">
      <c r="A28" t="s">
        <v>40</v>
      </c>
      <c r="B28" s="3">
        <v>45477</v>
      </c>
      <c r="C28" s="11">
        <v>10.02</v>
      </c>
      <c r="D28" s="11">
        <v>10.09</v>
      </c>
      <c r="E28" s="11">
        <v>9.79</v>
      </c>
      <c r="F28" s="11">
        <v>9.8</v>
      </c>
      <c r="G28" s="11">
        <v>10</v>
      </c>
      <c r="H28" s="11">
        <v>-0.2</v>
      </c>
      <c r="I28" s="11">
        <v>-2</v>
      </c>
      <c r="J28" s="12">
        <v>211426.21</v>
      </c>
      <c r="K28" s="13">
        <v>210082.802</v>
      </c>
      <c r="L28" t="str">
        <f>'300738.SZ_元数据'!$B$5</f>
        <v>事件库1.csv + 股票日行情CSV</v>
      </c>
      <c r="M28" t="s">
        <v>104</v>
      </c>
      <c r="N28" s="3">
        <f>'300738.SZ_元数据'!$B$4</f>
        <v>45532</v>
      </c>
      <c r="O28">
        <f t="shared" si="0"/>
        <v>27</v>
      </c>
      <c r="P28">
        <f t="shared" si="1"/>
        <v>66</v>
      </c>
      <c r="Q28">
        <f t="shared" si="2"/>
        <v>-39</v>
      </c>
      <c r="R28" t="str">
        <f t="shared" si="3"/>
        <v>事件前100个交易日</v>
      </c>
    </row>
    <row r="29" spans="1:18">
      <c r="A29" t="s">
        <v>40</v>
      </c>
      <c r="B29" s="3">
        <v>45478</v>
      </c>
      <c r="C29" s="11">
        <v>9.76</v>
      </c>
      <c r="D29" s="11">
        <v>10.01</v>
      </c>
      <c r="E29" s="11">
        <v>9.64</v>
      </c>
      <c r="F29" s="11">
        <v>9.91</v>
      </c>
      <c r="G29" s="11">
        <v>9.8</v>
      </c>
      <c r="H29" s="11">
        <v>0.11</v>
      </c>
      <c r="I29" s="11">
        <v>1.1224</v>
      </c>
      <c r="J29" s="12">
        <v>198622.93</v>
      </c>
      <c r="K29" s="13">
        <v>195541.649</v>
      </c>
      <c r="L29" t="str">
        <f>'300738.SZ_元数据'!$B$5</f>
        <v>事件库1.csv + 股票日行情CSV</v>
      </c>
      <c r="M29" t="s">
        <v>104</v>
      </c>
      <c r="N29" s="3">
        <f>'300738.SZ_元数据'!$B$4</f>
        <v>45532</v>
      </c>
      <c r="O29">
        <f t="shared" si="0"/>
        <v>28</v>
      </c>
      <c r="P29">
        <f t="shared" si="1"/>
        <v>66</v>
      </c>
      <c r="Q29">
        <f t="shared" si="2"/>
        <v>-38</v>
      </c>
      <c r="R29" t="str">
        <f t="shared" si="3"/>
        <v>事件前100个交易日</v>
      </c>
    </row>
    <row r="30" spans="1:18">
      <c r="A30" t="s">
        <v>40</v>
      </c>
      <c r="B30" s="3">
        <v>45481</v>
      </c>
      <c r="C30" s="11">
        <v>9.88</v>
      </c>
      <c r="D30" s="11">
        <v>9.89</v>
      </c>
      <c r="E30" s="11">
        <v>9.57</v>
      </c>
      <c r="F30" s="11">
        <v>9.63</v>
      </c>
      <c r="G30" s="11">
        <v>9.91</v>
      </c>
      <c r="H30" s="11">
        <v>-0.28</v>
      </c>
      <c r="I30" s="11">
        <v>-2.8254</v>
      </c>
      <c r="J30" s="12">
        <v>207445.82</v>
      </c>
      <c r="K30" s="13">
        <v>201120.753</v>
      </c>
      <c r="L30" t="str">
        <f>'300738.SZ_元数据'!$B$5</f>
        <v>事件库1.csv + 股票日行情CSV</v>
      </c>
      <c r="M30" t="s">
        <v>104</v>
      </c>
      <c r="N30" s="3">
        <f>'300738.SZ_元数据'!$B$4</f>
        <v>45532</v>
      </c>
      <c r="O30">
        <f t="shared" si="0"/>
        <v>29</v>
      </c>
      <c r="P30">
        <f t="shared" si="1"/>
        <v>66</v>
      </c>
      <c r="Q30">
        <f t="shared" si="2"/>
        <v>-37</v>
      </c>
      <c r="R30" t="str">
        <f t="shared" si="3"/>
        <v>事件前100个交易日</v>
      </c>
    </row>
    <row r="31" spans="1:18">
      <c r="A31" t="s">
        <v>40</v>
      </c>
      <c r="B31" s="3">
        <v>45482</v>
      </c>
      <c r="C31" s="11">
        <v>9.58</v>
      </c>
      <c r="D31" s="11">
        <v>10.09</v>
      </c>
      <c r="E31" s="11">
        <v>9.54</v>
      </c>
      <c r="F31" s="11">
        <v>10.08</v>
      </c>
      <c r="G31" s="11">
        <v>9.63</v>
      </c>
      <c r="H31" s="11">
        <v>0.45</v>
      </c>
      <c r="I31" s="11">
        <v>4.6729</v>
      </c>
      <c r="J31" s="12">
        <v>342076.15</v>
      </c>
      <c r="K31" s="13">
        <v>337010.045</v>
      </c>
      <c r="L31" t="str">
        <f>'300738.SZ_元数据'!$B$5</f>
        <v>事件库1.csv + 股票日行情CSV</v>
      </c>
      <c r="M31" t="s">
        <v>104</v>
      </c>
      <c r="N31" s="3">
        <f>'300738.SZ_元数据'!$B$4</f>
        <v>45532</v>
      </c>
      <c r="O31">
        <f t="shared" si="0"/>
        <v>30</v>
      </c>
      <c r="P31">
        <f t="shared" si="1"/>
        <v>66</v>
      </c>
      <c r="Q31">
        <f t="shared" si="2"/>
        <v>-36</v>
      </c>
      <c r="R31" t="str">
        <f t="shared" si="3"/>
        <v>事件前100个交易日</v>
      </c>
    </row>
    <row r="32" spans="1:18">
      <c r="A32" t="s">
        <v>40</v>
      </c>
      <c r="B32" s="3">
        <v>45483</v>
      </c>
      <c r="C32" s="11">
        <v>10.06</v>
      </c>
      <c r="D32" s="11">
        <v>10.74</v>
      </c>
      <c r="E32" s="11">
        <v>10.01</v>
      </c>
      <c r="F32" s="11">
        <v>10.33</v>
      </c>
      <c r="G32" s="11">
        <v>10.08</v>
      </c>
      <c r="H32" s="11">
        <v>0.25</v>
      </c>
      <c r="I32" s="11">
        <v>2.4802</v>
      </c>
      <c r="J32" s="12">
        <v>541814.81</v>
      </c>
      <c r="K32" s="13">
        <v>564182.816</v>
      </c>
      <c r="L32" t="str">
        <f>'300738.SZ_元数据'!$B$5</f>
        <v>事件库1.csv + 股票日行情CSV</v>
      </c>
      <c r="M32" t="s">
        <v>104</v>
      </c>
      <c r="N32" s="3">
        <f>'300738.SZ_元数据'!$B$4</f>
        <v>45532</v>
      </c>
      <c r="O32">
        <f t="shared" si="0"/>
        <v>31</v>
      </c>
      <c r="P32">
        <f t="shared" si="1"/>
        <v>66</v>
      </c>
      <c r="Q32">
        <f t="shared" si="2"/>
        <v>-35</v>
      </c>
      <c r="R32" t="str">
        <f t="shared" si="3"/>
        <v>事件前100个交易日</v>
      </c>
    </row>
    <row r="33" spans="1:18">
      <c r="A33" t="s">
        <v>40</v>
      </c>
      <c r="B33" s="3">
        <v>45484</v>
      </c>
      <c r="C33" s="11">
        <v>10.5</v>
      </c>
      <c r="D33" s="11">
        <v>10.64</v>
      </c>
      <c r="E33" s="11">
        <v>10.35</v>
      </c>
      <c r="F33" s="11">
        <v>10.46</v>
      </c>
      <c r="G33" s="11">
        <v>10.33</v>
      </c>
      <c r="H33" s="11">
        <v>0.13</v>
      </c>
      <c r="I33" s="11">
        <v>1.2585</v>
      </c>
      <c r="J33" s="12">
        <v>422593.16</v>
      </c>
      <c r="K33" s="13">
        <v>443315.385</v>
      </c>
      <c r="L33" t="str">
        <f>'300738.SZ_元数据'!$B$5</f>
        <v>事件库1.csv + 股票日行情CSV</v>
      </c>
      <c r="M33" t="s">
        <v>104</v>
      </c>
      <c r="N33" s="3">
        <f>'300738.SZ_元数据'!$B$4</f>
        <v>45532</v>
      </c>
      <c r="O33">
        <f t="shared" si="0"/>
        <v>32</v>
      </c>
      <c r="P33">
        <f t="shared" si="1"/>
        <v>66</v>
      </c>
      <c r="Q33">
        <f t="shared" si="2"/>
        <v>-34</v>
      </c>
      <c r="R33" t="str">
        <f t="shared" si="3"/>
        <v>事件前100个交易日</v>
      </c>
    </row>
    <row r="34" spans="1:18">
      <c r="A34" t="s">
        <v>40</v>
      </c>
      <c r="B34" s="3">
        <v>45485</v>
      </c>
      <c r="C34" s="11">
        <v>10.45</v>
      </c>
      <c r="D34" s="11">
        <v>10.62</v>
      </c>
      <c r="E34" s="11">
        <v>10.36</v>
      </c>
      <c r="F34" s="11">
        <v>10.52</v>
      </c>
      <c r="G34" s="11">
        <v>10.46</v>
      </c>
      <c r="H34" s="11">
        <v>0.06</v>
      </c>
      <c r="I34" s="11">
        <v>0.5736</v>
      </c>
      <c r="J34" s="12">
        <v>288589.27</v>
      </c>
      <c r="K34" s="13">
        <v>303550.524</v>
      </c>
      <c r="L34" t="str">
        <f>'300738.SZ_元数据'!$B$5</f>
        <v>事件库1.csv + 股票日行情CSV</v>
      </c>
      <c r="M34" t="s">
        <v>104</v>
      </c>
      <c r="N34" s="3">
        <f>'300738.SZ_元数据'!$B$4</f>
        <v>45532</v>
      </c>
      <c r="O34">
        <f t="shared" si="0"/>
        <v>33</v>
      </c>
      <c r="P34">
        <f t="shared" si="1"/>
        <v>66</v>
      </c>
      <c r="Q34">
        <f t="shared" si="2"/>
        <v>-33</v>
      </c>
      <c r="R34" t="str">
        <f t="shared" si="3"/>
        <v>事件前100个交易日</v>
      </c>
    </row>
    <row r="35" spans="1:18">
      <c r="A35" t="s">
        <v>40</v>
      </c>
      <c r="B35" s="3">
        <v>45488</v>
      </c>
      <c r="C35" s="11">
        <v>10.45</v>
      </c>
      <c r="D35" s="11">
        <v>10.48</v>
      </c>
      <c r="E35" s="11">
        <v>10.25</v>
      </c>
      <c r="F35" s="11">
        <v>10.3</v>
      </c>
      <c r="G35" s="11">
        <v>10.52</v>
      </c>
      <c r="H35" s="11">
        <v>-0.22</v>
      </c>
      <c r="I35" s="11">
        <v>-2.0913</v>
      </c>
      <c r="J35" s="12">
        <v>221654.79</v>
      </c>
      <c r="K35" s="13">
        <v>228907.702</v>
      </c>
      <c r="L35" t="str">
        <f>'300738.SZ_元数据'!$B$5</f>
        <v>事件库1.csv + 股票日行情CSV</v>
      </c>
      <c r="M35" t="s">
        <v>104</v>
      </c>
      <c r="N35" s="3">
        <f>'300738.SZ_元数据'!$B$4</f>
        <v>45532</v>
      </c>
      <c r="O35">
        <f t="shared" si="0"/>
        <v>34</v>
      </c>
      <c r="P35">
        <f t="shared" si="1"/>
        <v>66</v>
      </c>
      <c r="Q35">
        <f t="shared" si="2"/>
        <v>-32</v>
      </c>
      <c r="R35" t="str">
        <f t="shared" si="3"/>
        <v>事件前100个交易日</v>
      </c>
    </row>
    <row r="36" spans="1:18">
      <c r="A36" t="s">
        <v>40</v>
      </c>
      <c r="B36" s="3">
        <v>45489</v>
      </c>
      <c r="C36" s="11">
        <v>10.3</v>
      </c>
      <c r="D36" s="11">
        <v>10.62</v>
      </c>
      <c r="E36" s="11">
        <v>10.16</v>
      </c>
      <c r="F36" s="11">
        <v>10.57</v>
      </c>
      <c r="G36" s="11">
        <v>10.3</v>
      </c>
      <c r="H36" s="11">
        <v>0.27</v>
      </c>
      <c r="I36" s="11">
        <v>2.6214</v>
      </c>
      <c r="J36" s="12">
        <v>397207.2</v>
      </c>
      <c r="K36" s="13">
        <v>415536.376</v>
      </c>
      <c r="L36" t="str">
        <f>'300738.SZ_元数据'!$B$5</f>
        <v>事件库1.csv + 股票日行情CSV</v>
      </c>
      <c r="M36" t="s">
        <v>104</v>
      </c>
      <c r="N36" s="3">
        <f>'300738.SZ_元数据'!$B$4</f>
        <v>45532</v>
      </c>
      <c r="O36">
        <f t="shared" si="0"/>
        <v>35</v>
      </c>
      <c r="P36">
        <f t="shared" si="1"/>
        <v>66</v>
      </c>
      <c r="Q36">
        <f t="shared" si="2"/>
        <v>-31</v>
      </c>
      <c r="R36" t="str">
        <f t="shared" si="3"/>
        <v>事件前100个交易日</v>
      </c>
    </row>
    <row r="37" spans="1:18">
      <c r="A37" t="s">
        <v>40</v>
      </c>
      <c r="B37" s="3">
        <v>45490</v>
      </c>
      <c r="C37" s="11">
        <v>10.51</v>
      </c>
      <c r="D37" s="11">
        <v>10.73</v>
      </c>
      <c r="E37" s="11">
        <v>10.29</v>
      </c>
      <c r="F37" s="11">
        <v>10.29</v>
      </c>
      <c r="G37" s="11">
        <v>10.57</v>
      </c>
      <c r="H37" s="11">
        <v>-0.28</v>
      </c>
      <c r="I37" s="11">
        <v>-2.649</v>
      </c>
      <c r="J37" s="12">
        <v>298095.14</v>
      </c>
      <c r="K37" s="13">
        <v>312789.496</v>
      </c>
      <c r="L37" t="str">
        <f>'300738.SZ_元数据'!$B$5</f>
        <v>事件库1.csv + 股票日行情CSV</v>
      </c>
      <c r="M37" t="s">
        <v>104</v>
      </c>
      <c r="N37" s="3">
        <f>'300738.SZ_元数据'!$B$4</f>
        <v>45532</v>
      </c>
      <c r="O37">
        <f t="shared" si="0"/>
        <v>36</v>
      </c>
      <c r="P37">
        <f t="shared" si="1"/>
        <v>66</v>
      </c>
      <c r="Q37">
        <f t="shared" si="2"/>
        <v>-30</v>
      </c>
      <c r="R37" t="str">
        <f t="shared" si="3"/>
        <v>事件前100个交易日</v>
      </c>
    </row>
    <row r="38" spans="1:18">
      <c r="A38" t="s">
        <v>40</v>
      </c>
      <c r="B38" s="3">
        <v>45491</v>
      </c>
      <c r="C38" s="11">
        <v>10.11</v>
      </c>
      <c r="D38" s="11">
        <v>10.13</v>
      </c>
      <c r="E38" s="11">
        <v>9.69</v>
      </c>
      <c r="F38" s="11">
        <v>10.02</v>
      </c>
      <c r="G38" s="11">
        <v>10.29</v>
      </c>
      <c r="H38" s="11">
        <v>-0.27</v>
      </c>
      <c r="I38" s="11">
        <v>-2.6239</v>
      </c>
      <c r="J38" s="12">
        <v>353482.86</v>
      </c>
      <c r="K38" s="13">
        <v>349774.736</v>
      </c>
      <c r="L38" t="str">
        <f>'300738.SZ_元数据'!$B$5</f>
        <v>事件库1.csv + 股票日行情CSV</v>
      </c>
      <c r="M38" t="s">
        <v>104</v>
      </c>
      <c r="N38" s="3">
        <f>'300738.SZ_元数据'!$B$4</f>
        <v>45532</v>
      </c>
      <c r="O38">
        <f t="shared" si="0"/>
        <v>37</v>
      </c>
      <c r="P38">
        <f t="shared" si="1"/>
        <v>66</v>
      </c>
      <c r="Q38">
        <f t="shared" si="2"/>
        <v>-29</v>
      </c>
      <c r="R38" t="str">
        <f t="shared" si="3"/>
        <v>事件前100个交易日</v>
      </c>
    </row>
    <row r="39" spans="1:18">
      <c r="A39" t="s">
        <v>40</v>
      </c>
      <c r="B39" s="3">
        <v>45492</v>
      </c>
      <c r="C39" s="11">
        <v>9.98</v>
      </c>
      <c r="D39" s="11">
        <v>10.15</v>
      </c>
      <c r="E39" s="11">
        <v>9.86</v>
      </c>
      <c r="F39" s="11">
        <v>10.01</v>
      </c>
      <c r="G39" s="11">
        <v>10.02</v>
      </c>
      <c r="H39" s="11">
        <v>-0.01</v>
      </c>
      <c r="I39" s="11">
        <v>-0.0998</v>
      </c>
      <c r="J39" s="12">
        <v>214881.75</v>
      </c>
      <c r="K39" s="13">
        <v>215592.12</v>
      </c>
      <c r="L39" t="str">
        <f>'300738.SZ_元数据'!$B$5</f>
        <v>事件库1.csv + 股票日行情CSV</v>
      </c>
      <c r="M39" t="s">
        <v>104</v>
      </c>
      <c r="N39" s="3">
        <f>'300738.SZ_元数据'!$B$4</f>
        <v>45532</v>
      </c>
      <c r="O39">
        <f t="shared" si="0"/>
        <v>38</v>
      </c>
      <c r="P39">
        <f t="shared" si="1"/>
        <v>66</v>
      </c>
      <c r="Q39">
        <f t="shared" si="2"/>
        <v>-28</v>
      </c>
      <c r="R39" t="str">
        <f t="shared" si="3"/>
        <v>事件前100个交易日</v>
      </c>
    </row>
    <row r="40" spans="1:18">
      <c r="A40" t="s">
        <v>40</v>
      </c>
      <c r="B40" s="3">
        <v>45495</v>
      </c>
      <c r="C40" s="11">
        <v>10.06</v>
      </c>
      <c r="D40" s="11">
        <v>10.15</v>
      </c>
      <c r="E40" s="11">
        <v>9.91</v>
      </c>
      <c r="F40" s="11">
        <v>10</v>
      </c>
      <c r="G40" s="11">
        <v>10.01</v>
      </c>
      <c r="H40" s="11">
        <v>-0.01</v>
      </c>
      <c r="I40" s="11">
        <v>-0.0999</v>
      </c>
      <c r="J40" s="12">
        <v>194177.41</v>
      </c>
      <c r="K40" s="13">
        <v>194081.881</v>
      </c>
      <c r="L40" t="str">
        <f>'300738.SZ_元数据'!$B$5</f>
        <v>事件库1.csv + 股票日行情CSV</v>
      </c>
      <c r="M40" t="s">
        <v>104</v>
      </c>
      <c r="N40" s="3">
        <f>'300738.SZ_元数据'!$B$4</f>
        <v>45532</v>
      </c>
      <c r="O40">
        <f t="shared" si="0"/>
        <v>39</v>
      </c>
      <c r="P40">
        <f t="shared" si="1"/>
        <v>66</v>
      </c>
      <c r="Q40">
        <f t="shared" si="2"/>
        <v>-27</v>
      </c>
      <c r="R40" t="str">
        <f t="shared" si="3"/>
        <v>事件前100个交易日</v>
      </c>
    </row>
    <row r="41" spans="1:18">
      <c r="A41" t="s">
        <v>40</v>
      </c>
      <c r="B41" s="3">
        <v>45496</v>
      </c>
      <c r="C41" s="11">
        <v>10.01</v>
      </c>
      <c r="D41" s="11">
        <v>10.08</v>
      </c>
      <c r="E41" s="11">
        <v>9.67</v>
      </c>
      <c r="F41" s="11">
        <v>9.67</v>
      </c>
      <c r="G41" s="11">
        <v>10</v>
      </c>
      <c r="H41" s="11">
        <v>-0.33</v>
      </c>
      <c r="I41" s="11">
        <v>-3.3</v>
      </c>
      <c r="J41" s="12">
        <v>234337.09</v>
      </c>
      <c r="K41" s="13">
        <v>231069.542</v>
      </c>
      <c r="L41" t="str">
        <f>'300738.SZ_元数据'!$B$5</f>
        <v>事件库1.csv + 股票日行情CSV</v>
      </c>
      <c r="M41" t="s">
        <v>104</v>
      </c>
      <c r="N41" s="3">
        <f>'300738.SZ_元数据'!$B$4</f>
        <v>45532</v>
      </c>
      <c r="O41">
        <f t="shared" si="0"/>
        <v>40</v>
      </c>
      <c r="P41">
        <f t="shared" si="1"/>
        <v>66</v>
      </c>
      <c r="Q41">
        <f t="shared" si="2"/>
        <v>-26</v>
      </c>
      <c r="R41" t="str">
        <f t="shared" si="3"/>
        <v>事件前100个交易日</v>
      </c>
    </row>
    <row r="42" spans="1:18">
      <c r="A42" t="s">
        <v>40</v>
      </c>
      <c r="B42" s="3">
        <v>45497</v>
      </c>
      <c r="C42" s="11">
        <v>9.67</v>
      </c>
      <c r="D42" s="11">
        <v>10.07</v>
      </c>
      <c r="E42" s="11">
        <v>9.6</v>
      </c>
      <c r="F42" s="11">
        <v>9.75</v>
      </c>
      <c r="G42" s="11">
        <v>9.67</v>
      </c>
      <c r="H42" s="11">
        <v>0.08</v>
      </c>
      <c r="I42" s="11">
        <v>0.8273</v>
      </c>
      <c r="J42" s="12">
        <v>304926.63</v>
      </c>
      <c r="K42" s="13">
        <v>301332.526</v>
      </c>
      <c r="L42" t="str">
        <f>'300738.SZ_元数据'!$B$5</f>
        <v>事件库1.csv + 股票日行情CSV</v>
      </c>
      <c r="M42" t="s">
        <v>104</v>
      </c>
      <c r="N42" s="3">
        <f>'300738.SZ_元数据'!$B$4</f>
        <v>45532</v>
      </c>
      <c r="O42">
        <f t="shared" si="0"/>
        <v>41</v>
      </c>
      <c r="P42">
        <f t="shared" si="1"/>
        <v>66</v>
      </c>
      <c r="Q42">
        <f t="shared" si="2"/>
        <v>-25</v>
      </c>
      <c r="R42" t="str">
        <f t="shared" si="3"/>
        <v>事件前100个交易日</v>
      </c>
    </row>
    <row r="43" spans="1:18">
      <c r="A43" t="s">
        <v>40</v>
      </c>
      <c r="B43" s="3">
        <v>45498</v>
      </c>
      <c r="C43" s="11">
        <v>9.55</v>
      </c>
      <c r="D43" s="11">
        <v>9.71</v>
      </c>
      <c r="E43" s="11">
        <v>9.38</v>
      </c>
      <c r="F43" s="11">
        <v>9.55</v>
      </c>
      <c r="G43" s="11">
        <v>9.75</v>
      </c>
      <c r="H43" s="11">
        <v>-0.2</v>
      </c>
      <c r="I43" s="11">
        <v>-2.0513</v>
      </c>
      <c r="J43" s="12">
        <v>256016.27</v>
      </c>
      <c r="K43" s="13">
        <v>243806.824</v>
      </c>
      <c r="L43" t="str">
        <f>'300738.SZ_元数据'!$B$5</f>
        <v>事件库1.csv + 股票日行情CSV</v>
      </c>
      <c r="M43" t="s">
        <v>104</v>
      </c>
      <c r="N43" s="3">
        <f>'300738.SZ_元数据'!$B$4</f>
        <v>45532</v>
      </c>
      <c r="O43">
        <f t="shared" si="0"/>
        <v>42</v>
      </c>
      <c r="P43">
        <f t="shared" si="1"/>
        <v>66</v>
      </c>
      <c r="Q43">
        <f t="shared" si="2"/>
        <v>-24</v>
      </c>
      <c r="R43" t="str">
        <f t="shared" si="3"/>
        <v>事件前100个交易日</v>
      </c>
    </row>
    <row r="44" spans="1:18">
      <c r="A44" t="s">
        <v>40</v>
      </c>
      <c r="B44" s="3">
        <v>45499</v>
      </c>
      <c r="C44" s="11">
        <v>9.51</v>
      </c>
      <c r="D44" s="11">
        <v>9.85</v>
      </c>
      <c r="E44" s="11">
        <v>9.5</v>
      </c>
      <c r="F44" s="11">
        <v>9.73</v>
      </c>
      <c r="G44" s="11">
        <v>9.55</v>
      </c>
      <c r="H44" s="11">
        <v>0.18</v>
      </c>
      <c r="I44" s="11">
        <v>1.8848</v>
      </c>
      <c r="J44" s="12">
        <v>221762.66</v>
      </c>
      <c r="K44" s="13">
        <v>215244.814</v>
      </c>
      <c r="L44" t="str">
        <f>'300738.SZ_元数据'!$B$5</f>
        <v>事件库1.csv + 股票日行情CSV</v>
      </c>
      <c r="M44" t="s">
        <v>104</v>
      </c>
      <c r="N44" s="3">
        <f>'300738.SZ_元数据'!$B$4</f>
        <v>45532</v>
      </c>
      <c r="O44">
        <f t="shared" si="0"/>
        <v>43</v>
      </c>
      <c r="P44">
        <f t="shared" si="1"/>
        <v>66</v>
      </c>
      <c r="Q44">
        <f t="shared" si="2"/>
        <v>-23</v>
      </c>
      <c r="R44" t="str">
        <f t="shared" si="3"/>
        <v>事件前100个交易日</v>
      </c>
    </row>
    <row r="45" spans="1:18">
      <c r="A45" t="s">
        <v>40</v>
      </c>
      <c r="B45" s="3">
        <v>45502</v>
      </c>
      <c r="C45" s="11">
        <v>9.71</v>
      </c>
      <c r="D45" s="11">
        <v>9.83</v>
      </c>
      <c r="E45" s="11">
        <v>9.57</v>
      </c>
      <c r="F45" s="11">
        <v>9.76</v>
      </c>
      <c r="G45" s="11">
        <v>9.73</v>
      </c>
      <c r="H45" s="11">
        <v>0.03</v>
      </c>
      <c r="I45" s="11">
        <v>0.3083</v>
      </c>
      <c r="J45" s="12">
        <v>175967.12</v>
      </c>
      <c r="K45" s="13">
        <v>170749.731</v>
      </c>
      <c r="L45" t="str">
        <f>'300738.SZ_元数据'!$B$5</f>
        <v>事件库1.csv + 股票日行情CSV</v>
      </c>
      <c r="M45" t="s">
        <v>104</v>
      </c>
      <c r="N45" s="3">
        <f>'300738.SZ_元数据'!$B$4</f>
        <v>45532</v>
      </c>
      <c r="O45">
        <f t="shared" si="0"/>
        <v>44</v>
      </c>
      <c r="P45">
        <f t="shared" si="1"/>
        <v>66</v>
      </c>
      <c r="Q45">
        <f t="shared" si="2"/>
        <v>-22</v>
      </c>
      <c r="R45" t="str">
        <f t="shared" si="3"/>
        <v>事件前100个交易日</v>
      </c>
    </row>
    <row r="46" spans="1:18">
      <c r="A46" t="s">
        <v>40</v>
      </c>
      <c r="B46" s="3">
        <v>45503</v>
      </c>
      <c r="C46" s="11">
        <v>9.73</v>
      </c>
      <c r="D46" s="11">
        <v>9.93</v>
      </c>
      <c r="E46" s="11">
        <v>9.57</v>
      </c>
      <c r="F46" s="11">
        <v>9.82</v>
      </c>
      <c r="G46" s="11">
        <v>9.76</v>
      </c>
      <c r="H46" s="11">
        <v>0.06</v>
      </c>
      <c r="I46" s="11">
        <v>0.6148</v>
      </c>
      <c r="J46" s="12">
        <v>204098.55</v>
      </c>
      <c r="K46" s="13">
        <v>199210.944</v>
      </c>
      <c r="L46" t="str">
        <f>'300738.SZ_元数据'!$B$5</f>
        <v>事件库1.csv + 股票日行情CSV</v>
      </c>
      <c r="M46" t="s">
        <v>104</v>
      </c>
      <c r="N46" s="3">
        <f>'300738.SZ_元数据'!$B$4</f>
        <v>45532</v>
      </c>
      <c r="O46">
        <f t="shared" si="0"/>
        <v>45</v>
      </c>
      <c r="P46">
        <f t="shared" si="1"/>
        <v>66</v>
      </c>
      <c r="Q46">
        <f t="shared" si="2"/>
        <v>-21</v>
      </c>
      <c r="R46" t="str">
        <f t="shared" si="3"/>
        <v>事件前100个交易日</v>
      </c>
    </row>
    <row r="47" spans="1:18">
      <c r="A47" t="s">
        <v>40</v>
      </c>
      <c r="B47" s="3">
        <v>45504</v>
      </c>
      <c r="C47" s="11">
        <v>9.88</v>
      </c>
      <c r="D47" s="11">
        <v>10.25</v>
      </c>
      <c r="E47" s="11">
        <v>9.83</v>
      </c>
      <c r="F47" s="11">
        <v>10.2</v>
      </c>
      <c r="G47" s="11">
        <v>9.82</v>
      </c>
      <c r="H47" s="11">
        <v>0.38</v>
      </c>
      <c r="I47" s="11">
        <v>3.8697</v>
      </c>
      <c r="J47" s="12">
        <v>328925.5</v>
      </c>
      <c r="K47" s="13">
        <v>331396.355</v>
      </c>
      <c r="L47" t="str">
        <f>'300738.SZ_元数据'!$B$5</f>
        <v>事件库1.csv + 股票日行情CSV</v>
      </c>
      <c r="M47" t="s">
        <v>104</v>
      </c>
      <c r="N47" s="3">
        <f>'300738.SZ_元数据'!$B$4</f>
        <v>45532</v>
      </c>
      <c r="O47">
        <f t="shared" si="0"/>
        <v>46</v>
      </c>
      <c r="P47">
        <f t="shared" si="1"/>
        <v>66</v>
      </c>
      <c r="Q47">
        <f t="shared" si="2"/>
        <v>-20</v>
      </c>
      <c r="R47" t="str">
        <f t="shared" si="3"/>
        <v>事件前100个交易日</v>
      </c>
    </row>
    <row r="48" spans="1:18">
      <c r="A48" t="s">
        <v>40</v>
      </c>
      <c r="B48" s="3">
        <v>45505</v>
      </c>
      <c r="C48" s="11">
        <v>10.26</v>
      </c>
      <c r="D48" s="11">
        <v>10.3</v>
      </c>
      <c r="E48" s="11">
        <v>10.06</v>
      </c>
      <c r="F48" s="11">
        <v>10.11</v>
      </c>
      <c r="G48" s="11">
        <v>10.2</v>
      </c>
      <c r="H48" s="11">
        <v>-0.09</v>
      </c>
      <c r="I48" s="11">
        <v>-0.8824</v>
      </c>
      <c r="J48" s="12">
        <v>250706.36</v>
      </c>
      <c r="K48" s="13">
        <v>254667.829</v>
      </c>
      <c r="L48" t="str">
        <f>'300738.SZ_元数据'!$B$5</f>
        <v>事件库1.csv + 股票日行情CSV</v>
      </c>
      <c r="M48" t="s">
        <v>104</v>
      </c>
      <c r="N48" s="3">
        <f>'300738.SZ_元数据'!$B$4</f>
        <v>45532</v>
      </c>
      <c r="O48">
        <f t="shared" si="0"/>
        <v>47</v>
      </c>
      <c r="P48">
        <f t="shared" si="1"/>
        <v>66</v>
      </c>
      <c r="Q48">
        <f t="shared" si="2"/>
        <v>-19</v>
      </c>
      <c r="R48" t="str">
        <f t="shared" si="3"/>
        <v>事件前100个交易日</v>
      </c>
    </row>
    <row r="49" spans="1:18">
      <c r="A49" t="s">
        <v>40</v>
      </c>
      <c r="B49" s="3">
        <v>45506</v>
      </c>
      <c r="C49" s="11">
        <v>9.96</v>
      </c>
      <c r="D49" s="11">
        <v>10.11</v>
      </c>
      <c r="E49" s="11">
        <v>9.69</v>
      </c>
      <c r="F49" s="11">
        <v>9.76</v>
      </c>
      <c r="G49" s="11">
        <v>10.11</v>
      </c>
      <c r="H49" s="11">
        <v>-0.35</v>
      </c>
      <c r="I49" s="11">
        <v>-3.4619</v>
      </c>
      <c r="J49" s="12">
        <v>271568.44</v>
      </c>
      <c r="K49" s="13">
        <v>268307.08</v>
      </c>
      <c r="L49" t="str">
        <f>'300738.SZ_元数据'!$B$5</f>
        <v>事件库1.csv + 股票日行情CSV</v>
      </c>
      <c r="M49" t="s">
        <v>104</v>
      </c>
      <c r="N49" s="3">
        <f>'300738.SZ_元数据'!$B$4</f>
        <v>45532</v>
      </c>
      <c r="O49">
        <f t="shared" si="0"/>
        <v>48</v>
      </c>
      <c r="P49">
        <f t="shared" si="1"/>
        <v>66</v>
      </c>
      <c r="Q49">
        <f t="shared" si="2"/>
        <v>-18</v>
      </c>
      <c r="R49" t="str">
        <f t="shared" si="3"/>
        <v>事件前100个交易日</v>
      </c>
    </row>
    <row r="50" spans="1:18">
      <c r="A50" t="s">
        <v>40</v>
      </c>
      <c r="B50" s="3">
        <v>45509</v>
      </c>
      <c r="C50" s="11">
        <v>9.68</v>
      </c>
      <c r="D50" s="11">
        <v>9.85</v>
      </c>
      <c r="E50" s="11">
        <v>9.13</v>
      </c>
      <c r="F50" s="11">
        <v>9.13</v>
      </c>
      <c r="G50" s="11">
        <v>9.76</v>
      </c>
      <c r="H50" s="11">
        <v>-0.63</v>
      </c>
      <c r="I50" s="11">
        <v>-6.4549</v>
      </c>
      <c r="J50" s="12">
        <v>360553.77</v>
      </c>
      <c r="K50" s="13">
        <v>340398.862</v>
      </c>
      <c r="L50" t="str">
        <f>'300738.SZ_元数据'!$B$5</f>
        <v>事件库1.csv + 股票日行情CSV</v>
      </c>
      <c r="M50" t="s">
        <v>104</v>
      </c>
      <c r="N50" s="3">
        <f>'300738.SZ_元数据'!$B$4</f>
        <v>45532</v>
      </c>
      <c r="O50">
        <f t="shared" si="0"/>
        <v>49</v>
      </c>
      <c r="P50">
        <f t="shared" si="1"/>
        <v>66</v>
      </c>
      <c r="Q50">
        <f t="shared" si="2"/>
        <v>-17</v>
      </c>
      <c r="R50" t="str">
        <f t="shared" si="3"/>
        <v>事件前100个交易日</v>
      </c>
    </row>
    <row r="51" spans="1:18">
      <c r="A51" t="s">
        <v>40</v>
      </c>
      <c r="B51" s="3">
        <v>45510</v>
      </c>
      <c r="C51" s="11">
        <v>9.34</v>
      </c>
      <c r="D51" s="11">
        <v>9.49</v>
      </c>
      <c r="E51" s="11">
        <v>9.18</v>
      </c>
      <c r="F51" s="11">
        <v>9.36</v>
      </c>
      <c r="G51" s="11">
        <v>9.13</v>
      </c>
      <c r="H51" s="11">
        <v>0.23</v>
      </c>
      <c r="I51" s="11">
        <v>2.5192</v>
      </c>
      <c r="J51" s="12">
        <v>208378.97</v>
      </c>
      <c r="K51" s="13">
        <v>194300.925</v>
      </c>
      <c r="L51" t="str">
        <f>'300738.SZ_元数据'!$B$5</f>
        <v>事件库1.csv + 股票日行情CSV</v>
      </c>
      <c r="M51" t="s">
        <v>104</v>
      </c>
      <c r="N51" s="3">
        <f>'300738.SZ_元数据'!$B$4</f>
        <v>45532</v>
      </c>
      <c r="O51">
        <f t="shared" si="0"/>
        <v>50</v>
      </c>
      <c r="P51">
        <f t="shared" si="1"/>
        <v>66</v>
      </c>
      <c r="Q51">
        <f t="shared" si="2"/>
        <v>-16</v>
      </c>
      <c r="R51" t="str">
        <f t="shared" si="3"/>
        <v>事件前100个交易日</v>
      </c>
    </row>
    <row r="52" spans="1:18">
      <c r="A52" t="s">
        <v>40</v>
      </c>
      <c r="B52" s="3">
        <v>45511</v>
      </c>
      <c r="C52" s="11">
        <v>9.35</v>
      </c>
      <c r="D52" s="11">
        <v>9.45</v>
      </c>
      <c r="E52" s="11">
        <v>9.23</v>
      </c>
      <c r="F52" s="11">
        <v>9.25</v>
      </c>
      <c r="G52" s="11">
        <v>9.36</v>
      </c>
      <c r="H52" s="11">
        <v>-0.11</v>
      </c>
      <c r="I52" s="11">
        <v>-1.1752</v>
      </c>
      <c r="J52" s="12">
        <v>189392.53</v>
      </c>
      <c r="K52" s="13">
        <v>176888.039</v>
      </c>
      <c r="L52" t="str">
        <f>'300738.SZ_元数据'!$B$5</f>
        <v>事件库1.csv + 股票日行情CSV</v>
      </c>
      <c r="M52" t="s">
        <v>104</v>
      </c>
      <c r="N52" s="3">
        <f>'300738.SZ_元数据'!$B$4</f>
        <v>45532</v>
      </c>
      <c r="O52">
        <f t="shared" si="0"/>
        <v>51</v>
      </c>
      <c r="P52">
        <f t="shared" si="1"/>
        <v>66</v>
      </c>
      <c r="Q52">
        <f t="shared" si="2"/>
        <v>-15</v>
      </c>
      <c r="R52" t="str">
        <f t="shared" si="3"/>
        <v>事件前100个交易日</v>
      </c>
    </row>
    <row r="53" spans="1:18">
      <c r="A53" t="s">
        <v>40</v>
      </c>
      <c r="B53" s="3">
        <v>45512</v>
      </c>
      <c r="C53" s="11">
        <v>9.18</v>
      </c>
      <c r="D53" s="11">
        <v>9.32</v>
      </c>
      <c r="E53" s="11">
        <v>8.99</v>
      </c>
      <c r="F53" s="11">
        <v>9.17</v>
      </c>
      <c r="G53" s="11">
        <v>9.25</v>
      </c>
      <c r="H53" s="11">
        <v>-0.08</v>
      </c>
      <c r="I53" s="11">
        <v>-0.8649</v>
      </c>
      <c r="J53" s="12">
        <v>196734.75</v>
      </c>
      <c r="K53" s="13">
        <v>179603.457</v>
      </c>
      <c r="L53" t="str">
        <f>'300738.SZ_元数据'!$B$5</f>
        <v>事件库1.csv + 股票日行情CSV</v>
      </c>
      <c r="M53" t="s">
        <v>104</v>
      </c>
      <c r="N53" s="3">
        <f>'300738.SZ_元数据'!$B$4</f>
        <v>45532</v>
      </c>
      <c r="O53">
        <f t="shared" si="0"/>
        <v>52</v>
      </c>
      <c r="P53">
        <f t="shared" si="1"/>
        <v>66</v>
      </c>
      <c r="Q53">
        <f t="shared" si="2"/>
        <v>-14</v>
      </c>
      <c r="R53" t="str">
        <f t="shared" si="3"/>
        <v>事件前100个交易日</v>
      </c>
    </row>
    <row r="54" spans="1:18">
      <c r="A54" t="s">
        <v>40</v>
      </c>
      <c r="B54" s="3">
        <v>45513</v>
      </c>
      <c r="C54" s="11">
        <v>9.28</v>
      </c>
      <c r="D54" s="11">
        <v>9.33</v>
      </c>
      <c r="E54" s="11">
        <v>9.15</v>
      </c>
      <c r="F54" s="11">
        <v>9.18</v>
      </c>
      <c r="G54" s="11">
        <v>9.17</v>
      </c>
      <c r="H54" s="11">
        <v>0.01</v>
      </c>
      <c r="I54" s="11">
        <v>0.1091</v>
      </c>
      <c r="J54" s="12">
        <v>132925.65</v>
      </c>
      <c r="K54" s="13">
        <v>122625.191</v>
      </c>
      <c r="L54" t="str">
        <f>'300738.SZ_元数据'!$B$5</f>
        <v>事件库1.csv + 股票日行情CSV</v>
      </c>
      <c r="M54" t="s">
        <v>104</v>
      </c>
      <c r="N54" s="3">
        <f>'300738.SZ_元数据'!$B$4</f>
        <v>45532</v>
      </c>
      <c r="O54">
        <f t="shared" si="0"/>
        <v>53</v>
      </c>
      <c r="P54">
        <f t="shared" si="1"/>
        <v>66</v>
      </c>
      <c r="Q54">
        <f t="shared" si="2"/>
        <v>-13</v>
      </c>
      <c r="R54" t="str">
        <f t="shared" si="3"/>
        <v>事件前100个交易日</v>
      </c>
    </row>
    <row r="55" spans="1:18">
      <c r="A55" t="s">
        <v>40</v>
      </c>
      <c r="B55" s="3">
        <v>45516</v>
      </c>
      <c r="C55" s="11">
        <v>9.13</v>
      </c>
      <c r="D55" s="11">
        <v>9.18</v>
      </c>
      <c r="E55" s="11">
        <v>8.92</v>
      </c>
      <c r="F55" s="11">
        <v>9</v>
      </c>
      <c r="G55" s="11">
        <v>9.18</v>
      </c>
      <c r="H55" s="11">
        <v>-0.18</v>
      </c>
      <c r="I55" s="11">
        <v>-1.9608</v>
      </c>
      <c r="J55" s="12">
        <v>143826.94</v>
      </c>
      <c r="K55" s="13">
        <v>129756.073</v>
      </c>
      <c r="L55" t="str">
        <f>'300738.SZ_元数据'!$B$5</f>
        <v>事件库1.csv + 股票日行情CSV</v>
      </c>
      <c r="M55" t="s">
        <v>104</v>
      </c>
      <c r="N55" s="3">
        <f>'300738.SZ_元数据'!$B$4</f>
        <v>45532</v>
      </c>
      <c r="O55">
        <f t="shared" si="0"/>
        <v>54</v>
      </c>
      <c r="P55">
        <f t="shared" si="1"/>
        <v>66</v>
      </c>
      <c r="Q55">
        <f t="shared" si="2"/>
        <v>-12</v>
      </c>
      <c r="R55" t="str">
        <f t="shared" si="3"/>
        <v>事件前100个交易日</v>
      </c>
    </row>
    <row r="56" spans="1:18">
      <c r="A56" t="s">
        <v>40</v>
      </c>
      <c r="B56" s="3">
        <v>45517</v>
      </c>
      <c r="C56" s="11">
        <v>9.26</v>
      </c>
      <c r="D56" s="11">
        <v>9.36</v>
      </c>
      <c r="E56" s="11">
        <v>9</v>
      </c>
      <c r="F56" s="11">
        <v>9.19</v>
      </c>
      <c r="G56" s="11">
        <v>9</v>
      </c>
      <c r="H56" s="11">
        <v>0.19</v>
      </c>
      <c r="I56" s="11">
        <v>2.1111</v>
      </c>
      <c r="J56" s="12">
        <v>219990.4</v>
      </c>
      <c r="K56" s="13">
        <v>202058.623</v>
      </c>
      <c r="L56" t="str">
        <f>'300738.SZ_元数据'!$B$5</f>
        <v>事件库1.csv + 股票日行情CSV</v>
      </c>
      <c r="M56" t="s">
        <v>104</v>
      </c>
      <c r="N56" s="3">
        <f>'300738.SZ_元数据'!$B$4</f>
        <v>45532</v>
      </c>
      <c r="O56">
        <f t="shared" si="0"/>
        <v>55</v>
      </c>
      <c r="P56">
        <f t="shared" si="1"/>
        <v>66</v>
      </c>
      <c r="Q56">
        <f t="shared" si="2"/>
        <v>-11</v>
      </c>
      <c r="R56" t="str">
        <f t="shared" si="3"/>
        <v>事件前100个交易日</v>
      </c>
    </row>
    <row r="57" spans="1:18">
      <c r="A57" t="s">
        <v>40</v>
      </c>
      <c r="B57" s="3">
        <v>45518</v>
      </c>
      <c r="C57" s="11">
        <v>9.19</v>
      </c>
      <c r="D57" s="11">
        <v>9.25</v>
      </c>
      <c r="E57" s="11">
        <v>9.08</v>
      </c>
      <c r="F57" s="11">
        <v>9.14</v>
      </c>
      <c r="G57" s="11">
        <v>9.19</v>
      </c>
      <c r="H57" s="11">
        <v>-0.05</v>
      </c>
      <c r="I57" s="11">
        <v>-0.5441</v>
      </c>
      <c r="J57" s="12">
        <v>143866.36</v>
      </c>
      <c r="K57" s="13">
        <v>131920.098</v>
      </c>
      <c r="L57" t="str">
        <f>'300738.SZ_元数据'!$B$5</f>
        <v>事件库1.csv + 股票日行情CSV</v>
      </c>
      <c r="M57" t="s">
        <v>104</v>
      </c>
      <c r="N57" s="3">
        <f>'300738.SZ_元数据'!$B$4</f>
        <v>45532</v>
      </c>
      <c r="O57">
        <f t="shared" si="0"/>
        <v>56</v>
      </c>
      <c r="P57">
        <f t="shared" si="1"/>
        <v>66</v>
      </c>
      <c r="Q57">
        <f t="shared" si="2"/>
        <v>-10</v>
      </c>
      <c r="R57" t="str">
        <f t="shared" si="3"/>
        <v>事件前100个交易日</v>
      </c>
    </row>
    <row r="58" spans="1:18">
      <c r="A58" t="s">
        <v>40</v>
      </c>
      <c r="B58" s="3">
        <v>45519</v>
      </c>
      <c r="C58" s="11">
        <v>9.08</v>
      </c>
      <c r="D58" s="11">
        <v>9.34</v>
      </c>
      <c r="E58" s="11">
        <v>9.04</v>
      </c>
      <c r="F58" s="11">
        <v>9.21</v>
      </c>
      <c r="G58" s="11">
        <v>9.14</v>
      </c>
      <c r="H58" s="11">
        <v>0.07</v>
      </c>
      <c r="I58" s="11">
        <v>0.7659</v>
      </c>
      <c r="J58" s="12">
        <v>189976.38</v>
      </c>
      <c r="K58" s="13">
        <v>175351.528</v>
      </c>
      <c r="L58" t="str">
        <f>'300738.SZ_元数据'!$B$5</f>
        <v>事件库1.csv + 股票日行情CSV</v>
      </c>
      <c r="M58" t="s">
        <v>104</v>
      </c>
      <c r="N58" s="3">
        <f>'300738.SZ_元数据'!$B$4</f>
        <v>45532</v>
      </c>
      <c r="O58">
        <f t="shared" si="0"/>
        <v>57</v>
      </c>
      <c r="P58">
        <f t="shared" si="1"/>
        <v>66</v>
      </c>
      <c r="Q58">
        <f t="shared" si="2"/>
        <v>-9</v>
      </c>
      <c r="R58" t="str">
        <f t="shared" si="3"/>
        <v>事件前100个交易日</v>
      </c>
    </row>
    <row r="59" spans="1:18">
      <c r="A59" t="s">
        <v>40</v>
      </c>
      <c r="B59" s="3">
        <v>45520</v>
      </c>
      <c r="C59" s="11">
        <v>9.21</v>
      </c>
      <c r="D59" s="11">
        <v>9.35</v>
      </c>
      <c r="E59" s="11">
        <v>9.18</v>
      </c>
      <c r="F59" s="11">
        <v>9.2</v>
      </c>
      <c r="G59" s="11">
        <v>9.21</v>
      </c>
      <c r="H59" s="11">
        <v>-0.01</v>
      </c>
      <c r="I59" s="11">
        <v>-0.1086</v>
      </c>
      <c r="J59" s="12">
        <v>168219.8</v>
      </c>
      <c r="K59" s="13">
        <v>155785.327</v>
      </c>
      <c r="L59" t="str">
        <f>'300738.SZ_元数据'!$B$5</f>
        <v>事件库1.csv + 股票日行情CSV</v>
      </c>
      <c r="M59" t="s">
        <v>104</v>
      </c>
      <c r="N59" s="3">
        <f>'300738.SZ_元数据'!$B$4</f>
        <v>45532</v>
      </c>
      <c r="O59">
        <f t="shared" si="0"/>
        <v>58</v>
      </c>
      <c r="P59">
        <f t="shared" si="1"/>
        <v>66</v>
      </c>
      <c r="Q59">
        <f t="shared" si="2"/>
        <v>-8</v>
      </c>
      <c r="R59" t="str">
        <f t="shared" si="3"/>
        <v>事件前100个交易日</v>
      </c>
    </row>
    <row r="60" spans="1:18">
      <c r="A60" t="s">
        <v>40</v>
      </c>
      <c r="B60" s="3">
        <v>45523</v>
      </c>
      <c r="C60" s="11">
        <v>9.18</v>
      </c>
      <c r="D60" s="11">
        <v>9.3</v>
      </c>
      <c r="E60" s="11">
        <v>9.14</v>
      </c>
      <c r="F60" s="11">
        <v>9.21</v>
      </c>
      <c r="G60" s="11">
        <v>9.2</v>
      </c>
      <c r="H60" s="11">
        <v>0.01</v>
      </c>
      <c r="I60" s="11">
        <v>0.1087</v>
      </c>
      <c r="J60" s="12">
        <v>140045.04</v>
      </c>
      <c r="K60" s="13">
        <v>129215.551</v>
      </c>
      <c r="L60" t="str">
        <f>'300738.SZ_元数据'!$B$5</f>
        <v>事件库1.csv + 股票日行情CSV</v>
      </c>
      <c r="M60" t="s">
        <v>104</v>
      </c>
      <c r="N60" s="3">
        <f>'300738.SZ_元数据'!$B$4</f>
        <v>45532</v>
      </c>
      <c r="O60">
        <f t="shared" si="0"/>
        <v>59</v>
      </c>
      <c r="P60">
        <f t="shared" si="1"/>
        <v>66</v>
      </c>
      <c r="Q60">
        <f t="shared" si="2"/>
        <v>-7</v>
      </c>
      <c r="R60" t="str">
        <f t="shared" si="3"/>
        <v>事件前100个交易日</v>
      </c>
    </row>
    <row r="61" spans="1:18">
      <c r="A61" t="s">
        <v>40</v>
      </c>
      <c r="B61" s="3">
        <v>45524</v>
      </c>
      <c r="C61" s="11">
        <v>9.21</v>
      </c>
      <c r="D61" s="11">
        <v>9.24</v>
      </c>
      <c r="E61" s="11">
        <v>9.02</v>
      </c>
      <c r="F61" s="11">
        <v>9.03</v>
      </c>
      <c r="G61" s="11">
        <v>9.21</v>
      </c>
      <c r="H61" s="11">
        <v>-0.18</v>
      </c>
      <c r="I61" s="11">
        <v>-1.9544</v>
      </c>
      <c r="J61" s="12">
        <v>125805.66</v>
      </c>
      <c r="K61" s="13">
        <v>114345.305</v>
      </c>
      <c r="L61" t="str">
        <f>'300738.SZ_元数据'!$B$5</f>
        <v>事件库1.csv + 股票日行情CSV</v>
      </c>
      <c r="M61" t="s">
        <v>104</v>
      </c>
      <c r="N61" s="3">
        <f>'300738.SZ_元数据'!$B$4</f>
        <v>45532</v>
      </c>
      <c r="O61">
        <f t="shared" si="0"/>
        <v>60</v>
      </c>
      <c r="P61">
        <f t="shared" si="1"/>
        <v>66</v>
      </c>
      <c r="Q61">
        <f t="shared" si="2"/>
        <v>-6</v>
      </c>
      <c r="R61" t="str">
        <f t="shared" si="3"/>
        <v>事件前100个交易日</v>
      </c>
    </row>
    <row r="62" spans="1:18">
      <c r="A62" t="s">
        <v>40</v>
      </c>
      <c r="B62" s="3">
        <v>45525</v>
      </c>
      <c r="C62" s="11">
        <v>9</v>
      </c>
      <c r="D62" s="11">
        <v>9.12</v>
      </c>
      <c r="E62" s="11">
        <v>8.94</v>
      </c>
      <c r="F62" s="11">
        <v>8.94</v>
      </c>
      <c r="G62" s="11">
        <v>9.03</v>
      </c>
      <c r="H62" s="11">
        <v>-0.09</v>
      </c>
      <c r="I62" s="11">
        <v>-0.9967</v>
      </c>
      <c r="J62" s="12">
        <v>128062.36</v>
      </c>
      <c r="K62" s="13">
        <v>115720.435</v>
      </c>
      <c r="L62" t="str">
        <f>'300738.SZ_元数据'!$B$5</f>
        <v>事件库1.csv + 股票日行情CSV</v>
      </c>
      <c r="M62" t="s">
        <v>104</v>
      </c>
      <c r="N62" s="3">
        <f>'300738.SZ_元数据'!$B$4</f>
        <v>45532</v>
      </c>
      <c r="O62">
        <f t="shared" si="0"/>
        <v>61</v>
      </c>
      <c r="P62">
        <f t="shared" si="1"/>
        <v>66</v>
      </c>
      <c r="Q62">
        <f t="shared" si="2"/>
        <v>-5</v>
      </c>
      <c r="R62" t="str">
        <f t="shared" si="3"/>
        <v>事件前100个交易日</v>
      </c>
    </row>
    <row r="63" spans="1:18">
      <c r="A63" t="s">
        <v>40</v>
      </c>
      <c r="B63" s="3">
        <v>45526</v>
      </c>
      <c r="C63" s="11">
        <v>8.97</v>
      </c>
      <c r="D63" s="11">
        <v>9.1</v>
      </c>
      <c r="E63" s="11">
        <v>8.7</v>
      </c>
      <c r="F63" s="11">
        <v>8.75</v>
      </c>
      <c r="G63" s="11">
        <v>8.94</v>
      </c>
      <c r="H63" s="11">
        <v>-0.19</v>
      </c>
      <c r="I63" s="11">
        <v>-2.1253</v>
      </c>
      <c r="J63" s="12">
        <v>184652.52</v>
      </c>
      <c r="K63" s="13">
        <v>163713.447</v>
      </c>
      <c r="L63" t="str">
        <f>'300738.SZ_元数据'!$B$5</f>
        <v>事件库1.csv + 股票日行情CSV</v>
      </c>
      <c r="M63" t="s">
        <v>104</v>
      </c>
      <c r="N63" s="3">
        <f>'300738.SZ_元数据'!$B$4</f>
        <v>45532</v>
      </c>
      <c r="O63">
        <f t="shared" si="0"/>
        <v>62</v>
      </c>
      <c r="P63">
        <f t="shared" si="1"/>
        <v>66</v>
      </c>
      <c r="Q63">
        <f t="shared" si="2"/>
        <v>-4</v>
      </c>
      <c r="R63" t="str">
        <f t="shared" si="3"/>
        <v>事件前100个交易日</v>
      </c>
    </row>
    <row r="64" spans="1:18">
      <c r="A64" t="s">
        <v>40</v>
      </c>
      <c r="B64" s="3">
        <v>45527</v>
      </c>
      <c r="C64" s="11">
        <v>8.7</v>
      </c>
      <c r="D64" s="11">
        <v>8.91</v>
      </c>
      <c r="E64" s="11">
        <v>8.68</v>
      </c>
      <c r="F64" s="11">
        <v>8.83</v>
      </c>
      <c r="G64" s="11">
        <v>8.75</v>
      </c>
      <c r="H64" s="11">
        <v>0.08</v>
      </c>
      <c r="I64" s="11">
        <v>0.9143</v>
      </c>
      <c r="J64" s="12">
        <v>131046.42</v>
      </c>
      <c r="K64" s="13">
        <v>115463.656</v>
      </c>
      <c r="L64" t="str">
        <f>'300738.SZ_元数据'!$B$5</f>
        <v>事件库1.csv + 股票日行情CSV</v>
      </c>
      <c r="M64" t="s">
        <v>104</v>
      </c>
      <c r="N64" s="3">
        <f>'300738.SZ_元数据'!$B$4</f>
        <v>45532</v>
      </c>
      <c r="O64">
        <f t="shared" si="0"/>
        <v>63</v>
      </c>
      <c r="P64">
        <f t="shared" si="1"/>
        <v>66</v>
      </c>
      <c r="Q64">
        <f t="shared" si="2"/>
        <v>-3</v>
      </c>
      <c r="R64" t="str">
        <f t="shared" si="3"/>
        <v>事件前100个交易日</v>
      </c>
    </row>
    <row r="65" spans="1:19">
      <c r="A65" t="s">
        <v>40</v>
      </c>
      <c r="B65" s="3">
        <v>45530</v>
      </c>
      <c r="C65" s="11">
        <v>8.84</v>
      </c>
      <c r="D65" s="11">
        <v>8.89</v>
      </c>
      <c r="E65" s="11">
        <v>8.72</v>
      </c>
      <c r="F65" s="11">
        <v>8.79</v>
      </c>
      <c r="G65" s="11">
        <v>8.83</v>
      </c>
      <c r="H65" s="11">
        <v>-0.04</v>
      </c>
      <c r="I65" s="11">
        <v>-0.453</v>
      </c>
      <c r="J65" s="12">
        <v>109732.56</v>
      </c>
      <c r="K65" s="13">
        <v>96699.874</v>
      </c>
      <c r="L65" t="str">
        <f>'300738.SZ_元数据'!$B$5</f>
        <v>事件库1.csv + 股票日行情CSV</v>
      </c>
      <c r="M65" t="s">
        <v>104</v>
      </c>
      <c r="N65" s="3">
        <f>'300738.SZ_元数据'!$B$4</f>
        <v>45532</v>
      </c>
      <c r="O65">
        <f t="shared" si="0"/>
        <v>64</v>
      </c>
      <c r="P65">
        <f t="shared" si="1"/>
        <v>66</v>
      </c>
      <c r="Q65">
        <f t="shared" si="2"/>
        <v>-2</v>
      </c>
      <c r="R65" t="str">
        <f t="shared" si="3"/>
        <v>事件前100个交易日</v>
      </c>
    </row>
    <row r="66" spans="1:19">
      <c r="A66" t="s">
        <v>40</v>
      </c>
      <c r="B66" s="3">
        <v>45531</v>
      </c>
      <c r="C66" s="11">
        <v>8.75</v>
      </c>
      <c r="D66" s="11">
        <v>8.78</v>
      </c>
      <c r="E66" s="11">
        <v>8.49</v>
      </c>
      <c r="F66" s="11">
        <v>8.55</v>
      </c>
      <c r="G66" s="11">
        <v>8.79</v>
      </c>
      <c r="H66" s="11">
        <v>-0.24</v>
      </c>
      <c r="I66" s="11">
        <v>-2.7304</v>
      </c>
      <c r="J66" s="12">
        <v>158944.71</v>
      </c>
      <c r="K66" s="13">
        <v>136536.746</v>
      </c>
      <c r="L66" t="str">
        <f>'300738.SZ_元数据'!$B$5</f>
        <v>事件库1.csv + 股票日行情CSV</v>
      </c>
      <c r="M66" t="s">
        <v>104</v>
      </c>
      <c r="N66" s="3">
        <f>'300738.SZ_元数据'!$B$4</f>
        <v>45532</v>
      </c>
      <c r="O66">
        <f t="shared" ref="O66:O72" si="4">ROW()-1</f>
        <v>65</v>
      </c>
      <c r="P66">
        <f t="shared" ref="P66:P72" si="5">IFERROR(MATCH($N66,$B$2:$B$72,0),"")</f>
        <v>66</v>
      </c>
      <c r="Q66">
        <f t="shared" ref="Q66:Q72" si="6">IF(OR($P66="",$O66=""),"",$O66-$P66)</f>
        <v>-1</v>
      </c>
      <c r="R66" t="str">
        <f t="shared" ref="R66:R72" si="7">IF($Q66="","",IF(AND($Q66&gt;=-100,$Q66&lt;=-1),"事件前100个交易日",IF(AND($Q66&gt;=1,$Q66&lt;=5),"事件后5个交易日",IF($Q66=0,"事件当日","其他区间"))))</f>
        <v>事件前100个交易日</v>
      </c>
    </row>
    <row r="67" spans="1:19">
      <c r="A67" t="s">
        <v>40</v>
      </c>
      <c r="B67" s="3">
        <v>45532</v>
      </c>
      <c r="C67" s="11">
        <v>8.54</v>
      </c>
      <c r="D67" s="11">
        <v>8.85</v>
      </c>
      <c r="E67" s="11">
        <v>8.53</v>
      </c>
      <c r="F67" s="11">
        <v>8.71</v>
      </c>
      <c r="G67" s="11">
        <v>8.55</v>
      </c>
      <c r="H67" s="11">
        <v>0.16</v>
      </c>
      <c r="I67" s="11">
        <v>1.8713</v>
      </c>
      <c r="J67" s="12">
        <v>181548.75</v>
      </c>
      <c r="K67" s="13">
        <v>158104.903</v>
      </c>
      <c r="L67" t="str">
        <f>'300738.SZ_元数据'!$B$5</f>
        <v>事件库1.csv + 股票日行情CSV</v>
      </c>
      <c r="M67" t="s">
        <v>104</v>
      </c>
      <c r="N67" s="3">
        <f>'300738.SZ_元数据'!$B$4</f>
        <v>45532</v>
      </c>
      <c r="O67">
        <f t="shared" si="4"/>
        <v>66</v>
      </c>
      <c r="P67">
        <f t="shared" si="5"/>
        <v>66</v>
      </c>
      <c r="Q67">
        <f t="shared" si="6"/>
        <v>0</v>
      </c>
      <c r="R67" t="str">
        <f t="shared" si="7"/>
        <v>事件当日</v>
      </c>
      <c r="S67" t="s">
        <v>141</v>
      </c>
    </row>
    <row r="68" spans="1:19">
      <c r="A68" t="s">
        <v>40</v>
      </c>
      <c r="B68" s="3">
        <v>45533</v>
      </c>
      <c r="C68" s="11">
        <v>8.64</v>
      </c>
      <c r="D68" s="11">
        <v>8.98</v>
      </c>
      <c r="E68" s="11">
        <v>8.58</v>
      </c>
      <c r="F68" s="11">
        <v>8.95</v>
      </c>
      <c r="G68" s="11">
        <v>8.71</v>
      </c>
      <c r="H68" s="11">
        <v>0.24</v>
      </c>
      <c r="I68" s="11">
        <v>2.7555</v>
      </c>
      <c r="J68" s="12">
        <v>175658.56</v>
      </c>
      <c r="K68" s="13">
        <v>155142.119</v>
      </c>
      <c r="L68" t="str">
        <f>'300738.SZ_元数据'!$B$5</f>
        <v>事件库1.csv + 股票日行情CSV</v>
      </c>
      <c r="M68" t="s">
        <v>104</v>
      </c>
      <c r="N68" s="3">
        <f>'300738.SZ_元数据'!$B$4</f>
        <v>45532</v>
      </c>
      <c r="O68">
        <f t="shared" si="4"/>
        <v>67</v>
      </c>
      <c r="P68">
        <f t="shared" si="5"/>
        <v>66</v>
      </c>
      <c r="Q68">
        <f t="shared" si="6"/>
        <v>1</v>
      </c>
      <c r="R68" t="str">
        <f t="shared" si="7"/>
        <v>事件后5个交易日</v>
      </c>
    </row>
    <row r="69" spans="1:19">
      <c r="A69" t="s">
        <v>40</v>
      </c>
      <c r="B69" s="3">
        <v>45534</v>
      </c>
      <c r="C69" s="11">
        <v>8.94</v>
      </c>
      <c r="D69" s="11">
        <v>9.34</v>
      </c>
      <c r="E69" s="11">
        <v>8.9</v>
      </c>
      <c r="F69" s="11">
        <v>9.18</v>
      </c>
      <c r="G69" s="11">
        <v>8.95</v>
      </c>
      <c r="H69" s="11">
        <v>0.23</v>
      </c>
      <c r="I69" s="11">
        <v>2.5698</v>
      </c>
      <c r="J69" s="12">
        <v>241142.44</v>
      </c>
      <c r="K69" s="13">
        <v>221653.064</v>
      </c>
      <c r="L69" t="str">
        <f>'300738.SZ_元数据'!$B$5</f>
        <v>事件库1.csv + 股票日行情CSV</v>
      </c>
      <c r="M69" t="s">
        <v>104</v>
      </c>
      <c r="N69" s="3">
        <f>'300738.SZ_元数据'!$B$4</f>
        <v>45532</v>
      </c>
      <c r="O69">
        <f t="shared" si="4"/>
        <v>68</v>
      </c>
      <c r="P69">
        <f t="shared" si="5"/>
        <v>66</v>
      </c>
      <c r="Q69">
        <f t="shared" si="6"/>
        <v>2</v>
      </c>
      <c r="R69" t="str">
        <f t="shared" si="7"/>
        <v>事件后5个交易日</v>
      </c>
    </row>
    <row r="70" spans="1:19">
      <c r="A70" t="s">
        <v>40</v>
      </c>
      <c r="B70" s="3">
        <v>45537</v>
      </c>
      <c r="C70" s="11">
        <v>9.13</v>
      </c>
      <c r="D70" s="11">
        <v>9.25</v>
      </c>
      <c r="E70" s="11">
        <v>8.88</v>
      </c>
      <c r="F70" s="11">
        <v>8.89</v>
      </c>
      <c r="G70" s="11">
        <v>9.18</v>
      </c>
      <c r="H70" s="11">
        <v>-0.29</v>
      </c>
      <c r="I70" s="11">
        <v>-3.159</v>
      </c>
      <c r="J70" s="12">
        <v>155525.94</v>
      </c>
      <c r="K70" s="13">
        <v>140560.216</v>
      </c>
      <c r="L70" t="str">
        <f>'300738.SZ_元数据'!$B$5</f>
        <v>事件库1.csv + 股票日行情CSV</v>
      </c>
      <c r="M70" t="s">
        <v>104</v>
      </c>
      <c r="N70" s="3">
        <f>'300738.SZ_元数据'!$B$4</f>
        <v>45532</v>
      </c>
      <c r="O70">
        <f t="shared" si="4"/>
        <v>69</v>
      </c>
      <c r="P70">
        <f t="shared" si="5"/>
        <v>66</v>
      </c>
      <c r="Q70">
        <f t="shared" si="6"/>
        <v>3</v>
      </c>
      <c r="R70" t="str">
        <f t="shared" si="7"/>
        <v>事件后5个交易日</v>
      </c>
    </row>
    <row r="71" spans="1:19">
      <c r="A71" t="s">
        <v>40</v>
      </c>
      <c r="B71" s="3">
        <v>45538</v>
      </c>
      <c r="C71" s="11">
        <v>8.9</v>
      </c>
      <c r="D71" s="11">
        <v>9</v>
      </c>
      <c r="E71" s="11">
        <v>8.82</v>
      </c>
      <c r="F71" s="11">
        <v>8.96</v>
      </c>
      <c r="G71" s="11">
        <v>8.89</v>
      </c>
      <c r="H71" s="11">
        <v>0.07</v>
      </c>
      <c r="I71" s="11">
        <v>0.7874</v>
      </c>
      <c r="J71" s="12">
        <v>128719.6</v>
      </c>
      <c r="K71" s="13">
        <v>114855.796</v>
      </c>
      <c r="L71" t="str">
        <f>'300738.SZ_元数据'!$B$5</f>
        <v>事件库1.csv + 股票日行情CSV</v>
      </c>
      <c r="M71" t="s">
        <v>104</v>
      </c>
      <c r="N71" s="3">
        <f>'300738.SZ_元数据'!$B$4</f>
        <v>45532</v>
      </c>
      <c r="O71">
        <f t="shared" si="4"/>
        <v>70</v>
      </c>
      <c r="P71">
        <f t="shared" si="5"/>
        <v>66</v>
      </c>
      <c r="Q71">
        <f t="shared" si="6"/>
        <v>4</v>
      </c>
      <c r="R71" t="str">
        <f t="shared" si="7"/>
        <v>事件后5个交易日</v>
      </c>
    </row>
    <row r="72" spans="1:19">
      <c r="A72" t="s">
        <v>40</v>
      </c>
      <c r="B72" s="3">
        <v>45539</v>
      </c>
      <c r="C72" s="11">
        <v>8.8</v>
      </c>
      <c r="D72" s="11">
        <v>9.16</v>
      </c>
      <c r="E72" s="11">
        <v>8.76</v>
      </c>
      <c r="F72" s="11">
        <v>8.93</v>
      </c>
      <c r="G72" s="11">
        <v>8.96</v>
      </c>
      <c r="H72" s="11">
        <v>-0.03</v>
      </c>
      <c r="I72" s="11">
        <v>-0.3348</v>
      </c>
      <c r="J72" s="12">
        <v>142588.05</v>
      </c>
      <c r="K72" s="13">
        <v>127643.517</v>
      </c>
      <c r="L72" t="str">
        <f>'300738.SZ_元数据'!$B$5</f>
        <v>事件库1.csv + 股票日行情CSV</v>
      </c>
      <c r="M72" t="s">
        <v>104</v>
      </c>
      <c r="N72" s="3">
        <f>'300738.SZ_元数据'!$B$4</f>
        <v>45532</v>
      </c>
      <c r="O72">
        <f t="shared" si="4"/>
        <v>71</v>
      </c>
      <c r="P72">
        <f t="shared" si="5"/>
        <v>66</v>
      </c>
      <c r="Q72">
        <f t="shared" si="6"/>
        <v>5</v>
      </c>
      <c r="R72" t="str">
        <f t="shared" si="7"/>
        <v>事件后5个交易日</v>
      </c>
    </row>
  </sheetData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44</v>
      </c>
    </row>
    <row r="3" spans="1:2">
      <c r="A3" s="5" t="s">
        <v>75</v>
      </c>
      <c r="B3" s="6" t="s">
        <v>45</v>
      </c>
    </row>
    <row r="4" spans="1:2">
      <c r="A4" s="5" t="s">
        <v>2</v>
      </c>
      <c r="B4" s="7">
        <v>45873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45873</v>
      </c>
    </row>
    <row r="9" spans="1:2">
      <c r="A9" s="5" t="s">
        <v>1</v>
      </c>
      <c r="B9">
        <v>4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22</v>
      </c>
    </row>
    <row r="13" ht="42" spans="1:2">
      <c r="A13" s="5" t="s">
        <v>80</v>
      </c>
      <c r="B13" s="9" t="s">
        <v>143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44</v>
      </c>
      <c r="B2" s="3">
        <v>45783</v>
      </c>
      <c r="C2">
        <v>5.5</v>
      </c>
      <c r="D2">
        <v>5.56</v>
      </c>
      <c r="E2">
        <v>5.48</v>
      </c>
      <c r="F2">
        <v>5.56</v>
      </c>
      <c r="G2">
        <v>5.5</v>
      </c>
      <c r="H2">
        <v>0.06</v>
      </c>
      <c r="I2">
        <v>1.0909</v>
      </c>
      <c r="J2">
        <v>264264.69</v>
      </c>
      <c r="K2">
        <v>146122.965</v>
      </c>
      <c r="L2" t="s">
        <v>103</v>
      </c>
      <c r="M2" t="s">
        <v>104</v>
      </c>
      <c r="N2" s="3">
        <v>45873</v>
      </c>
      <c r="O2">
        <v>1</v>
      </c>
      <c r="P2">
        <v>64</v>
      </c>
      <c r="Q2">
        <v>-63</v>
      </c>
      <c r="R2" t="s">
        <v>105</v>
      </c>
    </row>
    <row r="3" spans="1:19">
      <c r="A3" t="s">
        <v>44</v>
      </c>
      <c r="B3" s="3">
        <v>45784</v>
      </c>
      <c r="C3">
        <v>5.61</v>
      </c>
      <c r="D3">
        <v>5.65</v>
      </c>
      <c r="E3">
        <v>5.51</v>
      </c>
      <c r="F3">
        <v>5.54</v>
      </c>
      <c r="G3">
        <v>5.56</v>
      </c>
      <c r="H3">
        <v>-0.02</v>
      </c>
      <c r="I3">
        <v>-0.3597</v>
      </c>
      <c r="J3">
        <v>229799</v>
      </c>
      <c r="K3">
        <v>128094.991</v>
      </c>
      <c r="L3" t="s">
        <v>103</v>
      </c>
      <c r="M3" t="s">
        <v>104</v>
      </c>
      <c r="N3" s="3">
        <v>45873</v>
      </c>
      <c r="O3">
        <v>2</v>
      </c>
      <c r="P3">
        <v>64</v>
      </c>
      <c r="Q3">
        <v>-62</v>
      </c>
      <c r="R3" t="s">
        <v>105</v>
      </c>
    </row>
    <row r="4" spans="1:19">
      <c r="A4" t="s">
        <v>44</v>
      </c>
      <c r="B4" s="3">
        <v>45785</v>
      </c>
      <c r="C4">
        <v>5.53</v>
      </c>
      <c r="D4">
        <v>5.59</v>
      </c>
      <c r="E4">
        <v>5.51</v>
      </c>
      <c r="F4">
        <v>5.57</v>
      </c>
      <c r="G4">
        <v>5.54</v>
      </c>
      <c r="H4">
        <v>0.03</v>
      </c>
      <c r="I4">
        <v>0.5415</v>
      </c>
      <c r="J4">
        <v>173977.02</v>
      </c>
      <c r="K4">
        <v>96817.228</v>
      </c>
      <c r="L4" t="s">
        <v>103</v>
      </c>
      <c r="M4" t="s">
        <v>104</v>
      </c>
      <c r="N4" s="3">
        <v>45873</v>
      </c>
      <c r="O4">
        <v>3</v>
      </c>
      <c r="P4">
        <v>64</v>
      </c>
      <c r="Q4">
        <v>-61</v>
      </c>
      <c r="R4" t="s">
        <v>105</v>
      </c>
    </row>
    <row r="5" spans="1:19">
      <c r="A5" t="s">
        <v>44</v>
      </c>
      <c r="B5" s="3">
        <v>45786</v>
      </c>
      <c r="C5">
        <v>5.59</v>
      </c>
      <c r="D5">
        <v>5.59</v>
      </c>
      <c r="E5">
        <v>5.51</v>
      </c>
      <c r="F5">
        <v>5.53</v>
      </c>
      <c r="G5">
        <v>5.57</v>
      </c>
      <c r="H5">
        <v>-0.04</v>
      </c>
      <c r="I5">
        <v>-0.7181</v>
      </c>
      <c r="J5">
        <v>180918.67</v>
      </c>
      <c r="K5">
        <v>100160.419</v>
      </c>
      <c r="L5" t="s">
        <v>103</v>
      </c>
      <c r="M5" t="s">
        <v>104</v>
      </c>
      <c r="N5" s="3">
        <v>45873</v>
      </c>
      <c r="O5">
        <v>4</v>
      </c>
      <c r="P5">
        <v>64</v>
      </c>
      <c r="Q5">
        <v>-60</v>
      </c>
      <c r="R5" t="s">
        <v>105</v>
      </c>
    </row>
    <row r="6" spans="1:19">
      <c r="A6" t="s">
        <v>44</v>
      </c>
      <c r="B6" s="3">
        <v>45789</v>
      </c>
      <c r="C6">
        <v>5.54</v>
      </c>
      <c r="D6">
        <v>5.57</v>
      </c>
      <c r="E6">
        <v>5.49</v>
      </c>
      <c r="F6">
        <v>5.52</v>
      </c>
      <c r="G6">
        <v>5.53</v>
      </c>
      <c r="H6">
        <v>-0.01</v>
      </c>
      <c r="I6">
        <v>-0.1808</v>
      </c>
      <c r="J6">
        <v>212802.84</v>
      </c>
      <c r="K6">
        <v>117372.724</v>
      </c>
      <c r="L6" t="s">
        <v>103</v>
      </c>
      <c r="M6" t="s">
        <v>104</v>
      </c>
      <c r="N6" s="3">
        <v>45873</v>
      </c>
      <c r="O6">
        <v>5</v>
      </c>
      <c r="P6">
        <v>64</v>
      </c>
      <c r="Q6">
        <v>-59</v>
      </c>
      <c r="R6" t="s">
        <v>105</v>
      </c>
    </row>
    <row r="7" spans="1:19">
      <c r="A7" t="s">
        <v>44</v>
      </c>
      <c r="B7" s="3">
        <v>45790</v>
      </c>
      <c r="C7">
        <v>5.55</v>
      </c>
      <c r="D7">
        <v>5.58</v>
      </c>
      <c r="E7">
        <v>5.5</v>
      </c>
      <c r="F7">
        <v>5.58</v>
      </c>
      <c r="G7">
        <v>5.52</v>
      </c>
      <c r="H7">
        <v>0.06</v>
      </c>
      <c r="I7">
        <v>1.087</v>
      </c>
      <c r="J7">
        <v>232428</v>
      </c>
      <c r="K7">
        <v>128866.692</v>
      </c>
      <c r="L7" t="s">
        <v>103</v>
      </c>
      <c r="M7" t="s">
        <v>104</v>
      </c>
      <c r="N7" s="3">
        <v>45873</v>
      </c>
      <c r="O7">
        <v>6</v>
      </c>
      <c r="P7">
        <v>64</v>
      </c>
      <c r="Q7">
        <v>-58</v>
      </c>
      <c r="R7" t="s">
        <v>105</v>
      </c>
    </row>
    <row r="8" spans="1:19">
      <c r="A8" t="s">
        <v>44</v>
      </c>
      <c r="B8" s="3">
        <v>45791</v>
      </c>
      <c r="C8">
        <v>5.56</v>
      </c>
      <c r="D8">
        <v>5.68</v>
      </c>
      <c r="E8">
        <v>5.54</v>
      </c>
      <c r="F8">
        <v>5.62</v>
      </c>
      <c r="G8">
        <v>5.58</v>
      </c>
      <c r="H8">
        <v>0.04</v>
      </c>
      <c r="I8">
        <v>0.7168</v>
      </c>
      <c r="J8">
        <v>362060.04</v>
      </c>
      <c r="K8">
        <v>203509.279</v>
      </c>
      <c r="L8" t="s">
        <v>103</v>
      </c>
      <c r="M8" t="s">
        <v>104</v>
      </c>
      <c r="N8" s="3">
        <v>45873</v>
      </c>
      <c r="O8">
        <v>7</v>
      </c>
      <c r="P8">
        <v>64</v>
      </c>
      <c r="Q8">
        <v>-57</v>
      </c>
      <c r="R8" t="s">
        <v>105</v>
      </c>
    </row>
    <row r="9" spans="1:19">
      <c r="A9" t="s">
        <v>44</v>
      </c>
      <c r="B9" s="3">
        <v>45792</v>
      </c>
      <c r="C9">
        <v>5.61</v>
      </c>
      <c r="D9">
        <v>5.68</v>
      </c>
      <c r="E9">
        <v>5.55</v>
      </c>
      <c r="F9">
        <v>5.55</v>
      </c>
      <c r="G9">
        <v>5.62</v>
      </c>
      <c r="H9">
        <v>-0.07</v>
      </c>
      <c r="I9">
        <v>-1.2456</v>
      </c>
      <c r="J9">
        <v>203816.89</v>
      </c>
      <c r="K9">
        <v>114228.504</v>
      </c>
      <c r="L9" t="s">
        <v>103</v>
      </c>
      <c r="M9" t="s">
        <v>104</v>
      </c>
      <c r="N9" s="3">
        <v>45873</v>
      </c>
      <c r="O9">
        <v>8</v>
      </c>
      <c r="P9">
        <v>64</v>
      </c>
      <c r="Q9">
        <v>-56</v>
      </c>
      <c r="R9" t="s">
        <v>105</v>
      </c>
    </row>
    <row r="10" spans="1:19">
      <c r="A10" t="s">
        <v>44</v>
      </c>
      <c r="B10" s="3">
        <v>45793</v>
      </c>
      <c r="C10">
        <v>5.55</v>
      </c>
      <c r="D10">
        <v>5.57</v>
      </c>
      <c r="E10">
        <v>5.5</v>
      </c>
      <c r="F10">
        <v>5.51</v>
      </c>
      <c r="G10">
        <v>5.55</v>
      </c>
      <c r="H10">
        <v>-0.04</v>
      </c>
      <c r="I10">
        <v>-0.7207</v>
      </c>
      <c r="J10">
        <v>157529.86</v>
      </c>
      <c r="K10">
        <v>87012.817</v>
      </c>
      <c r="L10" t="s">
        <v>103</v>
      </c>
      <c r="M10" t="s">
        <v>104</v>
      </c>
      <c r="N10" s="3">
        <v>45873</v>
      </c>
      <c r="O10">
        <v>9</v>
      </c>
      <c r="P10">
        <v>64</v>
      </c>
      <c r="Q10">
        <v>-55</v>
      </c>
      <c r="R10" t="s">
        <v>105</v>
      </c>
    </row>
    <row r="11" spans="1:19">
      <c r="A11" t="s">
        <v>44</v>
      </c>
      <c r="B11" s="3">
        <v>45796</v>
      </c>
      <c r="C11">
        <v>5.52</v>
      </c>
      <c r="D11">
        <v>5.54</v>
      </c>
      <c r="E11">
        <v>5.5</v>
      </c>
      <c r="F11">
        <v>5.53</v>
      </c>
      <c r="G11">
        <v>5.51</v>
      </c>
      <c r="H11">
        <v>0.02</v>
      </c>
      <c r="I11">
        <v>0.363</v>
      </c>
      <c r="J11">
        <v>118389.57</v>
      </c>
      <c r="K11">
        <v>65338.835</v>
      </c>
      <c r="L11" t="s">
        <v>103</v>
      </c>
      <c r="M11" t="s">
        <v>104</v>
      </c>
      <c r="N11" s="3">
        <v>45873</v>
      </c>
      <c r="O11">
        <v>10</v>
      </c>
      <c r="P11">
        <v>64</v>
      </c>
      <c r="Q11">
        <v>-54</v>
      </c>
      <c r="R11" t="s">
        <v>105</v>
      </c>
    </row>
    <row r="12" spans="1:19">
      <c r="A12" t="s">
        <v>44</v>
      </c>
      <c r="B12" s="3">
        <v>45797</v>
      </c>
      <c r="C12">
        <v>5.54</v>
      </c>
      <c r="D12">
        <v>5.6</v>
      </c>
      <c r="E12">
        <v>5.52</v>
      </c>
      <c r="F12">
        <v>5.6</v>
      </c>
      <c r="G12">
        <v>5.53</v>
      </c>
      <c r="H12">
        <v>0.07</v>
      </c>
      <c r="I12">
        <v>1.2658</v>
      </c>
      <c r="J12">
        <v>168270.2</v>
      </c>
      <c r="K12">
        <v>93637.198</v>
      </c>
      <c r="L12" t="s">
        <v>103</v>
      </c>
      <c r="M12" t="s">
        <v>104</v>
      </c>
      <c r="N12" s="3">
        <v>45873</v>
      </c>
      <c r="O12">
        <v>11</v>
      </c>
      <c r="P12">
        <v>64</v>
      </c>
      <c r="Q12">
        <v>-53</v>
      </c>
      <c r="R12" t="s">
        <v>105</v>
      </c>
    </row>
    <row r="13" spans="1:19">
      <c r="A13" t="s">
        <v>44</v>
      </c>
      <c r="B13" s="3">
        <v>45798</v>
      </c>
      <c r="C13">
        <v>5.58</v>
      </c>
      <c r="D13">
        <v>5.63</v>
      </c>
      <c r="E13">
        <v>5.55</v>
      </c>
      <c r="F13">
        <v>5.56</v>
      </c>
      <c r="G13">
        <v>5.6</v>
      </c>
      <c r="H13">
        <v>-0.04</v>
      </c>
      <c r="I13">
        <v>-0.7143</v>
      </c>
      <c r="J13">
        <v>151603.96</v>
      </c>
      <c r="K13">
        <v>84724.278</v>
      </c>
      <c r="L13" t="s">
        <v>103</v>
      </c>
      <c r="M13" t="s">
        <v>104</v>
      </c>
      <c r="N13" s="3">
        <v>45873</v>
      </c>
      <c r="O13">
        <v>12</v>
      </c>
      <c r="P13">
        <v>64</v>
      </c>
      <c r="Q13">
        <v>-52</v>
      </c>
      <c r="R13" t="s">
        <v>105</v>
      </c>
    </row>
    <row r="14" spans="1:19">
      <c r="A14" t="s">
        <v>44</v>
      </c>
      <c r="B14" s="3">
        <v>45799</v>
      </c>
      <c r="C14">
        <v>5.56</v>
      </c>
      <c r="D14">
        <v>5.56</v>
      </c>
      <c r="E14">
        <v>5.5</v>
      </c>
      <c r="F14">
        <v>5.51</v>
      </c>
      <c r="G14">
        <v>5.56</v>
      </c>
      <c r="H14">
        <v>-0.05</v>
      </c>
      <c r="I14">
        <v>-0.8993</v>
      </c>
      <c r="J14">
        <v>144500.26</v>
      </c>
      <c r="K14">
        <v>79819.336</v>
      </c>
      <c r="L14" t="s">
        <v>103</v>
      </c>
      <c r="M14" t="s">
        <v>104</v>
      </c>
      <c r="N14" s="3">
        <v>45873</v>
      </c>
      <c r="O14">
        <v>13</v>
      </c>
      <c r="P14">
        <v>64</v>
      </c>
      <c r="Q14">
        <v>-51</v>
      </c>
      <c r="R14" t="s">
        <v>105</v>
      </c>
    </row>
    <row r="15" spans="1:19">
      <c r="A15" t="s">
        <v>44</v>
      </c>
      <c r="B15" s="3">
        <v>45800</v>
      </c>
      <c r="C15">
        <v>5.52</v>
      </c>
      <c r="D15">
        <v>5.52</v>
      </c>
      <c r="E15">
        <v>5.44</v>
      </c>
      <c r="F15">
        <v>5.44</v>
      </c>
      <c r="G15">
        <v>5.51</v>
      </c>
      <c r="H15">
        <v>-0.07</v>
      </c>
      <c r="I15">
        <v>-1.2704</v>
      </c>
      <c r="J15">
        <v>174457.84</v>
      </c>
      <c r="K15">
        <v>95659.133</v>
      </c>
      <c r="L15" t="s">
        <v>103</v>
      </c>
      <c r="M15" t="s">
        <v>104</v>
      </c>
      <c r="N15" s="3">
        <v>45873</v>
      </c>
      <c r="O15">
        <v>14</v>
      </c>
      <c r="P15">
        <v>64</v>
      </c>
      <c r="Q15">
        <v>-50</v>
      </c>
      <c r="R15" t="s">
        <v>105</v>
      </c>
    </row>
    <row r="16" spans="1:19">
      <c r="A16" t="s">
        <v>44</v>
      </c>
      <c r="B16" s="3">
        <v>45803</v>
      </c>
      <c r="C16">
        <v>5.44</v>
      </c>
      <c r="D16">
        <v>5.46</v>
      </c>
      <c r="E16">
        <v>5.41</v>
      </c>
      <c r="F16">
        <v>5.45</v>
      </c>
      <c r="G16">
        <v>5.44</v>
      </c>
      <c r="H16">
        <v>0.01</v>
      </c>
      <c r="I16">
        <v>0.1838</v>
      </c>
      <c r="J16">
        <v>92638.86</v>
      </c>
      <c r="K16">
        <v>50357.373</v>
      </c>
      <c r="L16" t="s">
        <v>103</v>
      </c>
      <c r="M16" t="s">
        <v>104</v>
      </c>
      <c r="N16" s="3">
        <v>45873</v>
      </c>
      <c r="O16">
        <v>15</v>
      </c>
      <c r="P16">
        <v>64</v>
      </c>
      <c r="Q16">
        <v>-49</v>
      </c>
      <c r="R16" t="s">
        <v>105</v>
      </c>
    </row>
    <row r="17" spans="1:18">
      <c r="A17" t="s">
        <v>44</v>
      </c>
      <c r="B17" s="3">
        <v>45804</v>
      </c>
      <c r="C17">
        <v>5.45</v>
      </c>
      <c r="D17">
        <v>5.46</v>
      </c>
      <c r="E17">
        <v>5.38</v>
      </c>
      <c r="F17">
        <v>5.42</v>
      </c>
      <c r="G17">
        <v>5.45</v>
      </c>
      <c r="H17">
        <v>-0.03</v>
      </c>
      <c r="I17">
        <v>-0.5505</v>
      </c>
      <c r="J17">
        <v>110754.18</v>
      </c>
      <c r="K17">
        <v>59908.619</v>
      </c>
      <c r="L17" t="s">
        <v>103</v>
      </c>
      <c r="M17" t="s">
        <v>104</v>
      </c>
      <c r="N17" s="3">
        <v>45873</v>
      </c>
      <c r="O17">
        <v>16</v>
      </c>
      <c r="P17">
        <v>64</v>
      </c>
      <c r="Q17">
        <v>-48</v>
      </c>
      <c r="R17" t="s">
        <v>105</v>
      </c>
    </row>
    <row r="18" spans="1:18">
      <c r="A18" t="s">
        <v>44</v>
      </c>
      <c r="B18" s="3">
        <v>45805</v>
      </c>
      <c r="C18">
        <v>5.42</v>
      </c>
      <c r="D18">
        <v>5.45</v>
      </c>
      <c r="E18">
        <v>5.41</v>
      </c>
      <c r="F18">
        <v>5.42</v>
      </c>
      <c r="G18">
        <v>5.42</v>
      </c>
      <c r="H18">
        <v>0</v>
      </c>
      <c r="I18">
        <v>0</v>
      </c>
      <c r="J18">
        <v>87436.31</v>
      </c>
      <c r="K18">
        <v>47470.182</v>
      </c>
      <c r="L18" t="s">
        <v>103</v>
      </c>
      <c r="M18" t="s">
        <v>104</v>
      </c>
      <c r="N18" s="3">
        <v>45873</v>
      </c>
      <c r="O18">
        <v>17</v>
      </c>
      <c r="P18">
        <v>64</v>
      </c>
      <c r="Q18">
        <v>-47</v>
      </c>
      <c r="R18" t="s">
        <v>105</v>
      </c>
    </row>
    <row r="19" spans="1:18">
      <c r="A19" t="s">
        <v>44</v>
      </c>
      <c r="B19" s="3">
        <v>45806</v>
      </c>
      <c r="C19">
        <v>5.43</v>
      </c>
      <c r="D19">
        <v>5.51</v>
      </c>
      <c r="E19">
        <v>5.41</v>
      </c>
      <c r="F19">
        <v>5.51</v>
      </c>
      <c r="G19">
        <v>5.42</v>
      </c>
      <c r="H19">
        <v>0.09</v>
      </c>
      <c r="I19">
        <v>1.6605</v>
      </c>
      <c r="J19">
        <v>130315.81</v>
      </c>
      <c r="K19">
        <v>71428.837</v>
      </c>
      <c r="L19" t="s">
        <v>103</v>
      </c>
      <c r="M19" t="s">
        <v>104</v>
      </c>
      <c r="N19" s="3">
        <v>45873</v>
      </c>
      <c r="O19">
        <v>18</v>
      </c>
      <c r="P19">
        <v>64</v>
      </c>
      <c r="Q19">
        <v>-46</v>
      </c>
      <c r="R19" t="s">
        <v>105</v>
      </c>
    </row>
    <row r="20" spans="1:18">
      <c r="A20" t="s">
        <v>44</v>
      </c>
      <c r="B20" s="3">
        <v>45807</v>
      </c>
      <c r="C20">
        <v>5.51</v>
      </c>
      <c r="D20">
        <v>5.51</v>
      </c>
      <c r="E20">
        <v>5.43</v>
      </c>
      <c r="F20">
        <v>5.48</v>
      </c>
      <c r="G20">
        <v>5.51</v>
      </c>
      <c r="H20">
        <v>-0.03</v>
      </c>
      <c r="I20">
        <v>-0.5445</v>
      </c>
      <c r="J20">
        <v>125016.46</v>
      </c>
      <c r="K20">
        <v>68284.903</v>
      </c>
      <c r="L20" t="s">
        <v>103</v>
      </c>
      <c r="M20" t="s">
        <v>104</v>
      </c>
      <c r="N20" s="3">
        <v>45873</v>
      </c>
      <c r="O20">
        <v>19</v>
      </c>
      <c r="P20">
        <v>64</v>
      </c>
      <c r="Q20">
        <v>-45</v>
      </c>
      <c r="R20" t="s">
        <v>105</v>
      </c>
    </row>
    <row r="21" spans="1:18">
      <c r="A21" t="s">
        <v>44</v>
      </c>
      <c r="B21" s="3">
        <v>45811</v>
      </c>
      <c r="C21">
        <v>5.47</v>
      </c>
      <c r="D21">
        <v>5.48</v>
      </c>
      <c r="E21">
        <v>5.43</v>
      </c>
      <c r="F21">
        <v>5.46</v>
      </c>
      <c r="G21">
        <v>5.48</v>
      </c>
      <c r="H21">
        <v>-0.02</v>
      </c>
      <c r="I21">
        <v>-0.365</v>
      </c>
      <c r="J21">
        <v>73408.89</v>
      </c>
      <c r="K21">
        <v>40053.926</v>
      </c>
      <c r="L21" t="s">
        <v>103</v>
      </c>
      <c r="M21" t="s">
        <v>104</v>
      </c>
      <c r="N21" s="3">
        <v>45873</v>
      </c>
      <c r="O21">
        <v>20</v>
      </c>
      <c r="P21">
        <v>64</v>
      </c>
      <c r="Q21">
        <v>-44</v>
      </c>
      <c r="R21" t="s">
        <v>105</v>
      </c>
    </row>
    <row r="22" spans="1:18">
      <c r="A22" t="s">
        <v>44</v>
      </c>
      <c r="B22" s="3">
        <v>45812</v>
      </c>
      <c r="C22">
        <v>5.47</v>
      </c>
      <c r="D22">
        <v>5.51</v>
      </c>
      <c r="E22">
        <v>5.46</v>
      </c>
      <c r="F22">
        <v>5.5</v>
      </c>
      <c r="G22">
        <v>5.46</v>
      </c>
      <c r="H22">
        <v>0.04</v>
      </c>
      <c r="I22">
        <v>0.7326</v>
      </c>
      <c r="J22">
        <v>93514.3</v>
      </c>
      <c r="K22">
        <v>51382.772</v>
      </c>
      <c r="L22" t="s">
        <v>103</v>
      </c>
      <c r="M22" t="s">
        <v>104</v>
      </c>
      <c r="N22" s="3">
        <v>45873</v>
      </c>
      <c r="O22">
        <v>21</v>
      </c>
      <c r="P22">
        <v>64</v>
      </c>
      <c r="Q22">
        <v>-43</v>
      </c>
      <c r="R22" t="s">
        <v>105</v>
      </c>
    </row>
    <row r="23" spans="1:18">
      <c r="A23" t="s">
        <v>44</v>
      </c>
      <c r="B23" s="3">
        <v>45813</v>
      </c>
      <c r="C23">
        <v>5.57</v>
      </c>
      <c r="D23">
        <v>5.6</v>
      </c>
      <c r="E23">
        <v>5.52</v>
      </c>
      <c r="F23">
        <v>5.54</v>
      </c>
      <c r="G23">
        <v>5.5</v>
      </c>
      <c r="H23">
        <v>0.04</v>
      </c>
      <c r="I23">
        <v>0.7273</v>
      </c>
      <c r="J23">
        <v>169529.7</v>
      </c>
      <c r="K23">
        <v>94161.334</v>
      </c>
      <c r="L23" t="s">
        <v>103</v>
      </c>
      <c r="M23" t="s">
        <v>104</v>
      </c>
      <c r="N23" s="3">
        <v>45873</v>
      </c>
      <c r="O23">
        <v>22</v>
      </c>
      <c r="P23">
        <v>64</v>
      </c>
      <c r="Q23">
        <v>-42</v>
      </c>
      <c r="R23" t="s">
        <v>105</v>
      </c>
    </row>
    <row r="24" spans="1:18">
      <c r="A24" t="s">
        <v>44</v>
      </c>
      <c r="B24" s="3">
        <v>45814</v>
      </c>
      <c r="C24">
        <v>5.53</v>
      </c>
      <c r="D24">
        <v>5.56</v>
      </c>
      <c r="E24">
        <v>5.5</v>
      </c>
      <c r="F24">
        <v>5.54</v>
      </c>
      <c r="G24">
        <v>5.54</v>
      </c>
      <c r="H24">
        <v>0</v>
      </c>
      <c r="I24">
        <v>0</v>
      </c>
      <c r="J24">
        <v>132527.7</v>
      </c>
      <c r="K24">
        <v>73321.005</v>
      </c>
      <c r="L24" t="s">
        <v>103</v>
      </c>
      <c r="M24" t="s">
        <v>104</v>
      </c>
      <c r="N24" s="3">
        <v>45873</v>
      </c>
      <c r="O24">
        <v>23</v>
      </c>
      <c r="P24">
        <v>64</v>
      </c>
      <c r="Q24">
        <v>-41</v>
      </c>
      <c r="R24" t="s">
        <v>105</v>
      </c>
    </row>
    <row r="25" spans="1:18">
      <c r="A25" t="s">
        <v>44</v>
      </c>
      <c r="B25" s="3">
        <v>45817</v>
      </c>
      <c r="C25">
        <v>5.54</v>
      </c>
      <c r="D25">
        <v>5.55</v>
      </c>
      <c r="E25">
        <v>5.51</v>
      </c>
      <c r="F25">
        <v>5.52</v>
      </c>
      <c r="G25">
        <v>5.54</v>
      </c>
      <c r="H25">
        <v>-0.02</v>
      </c>
      <c r="I25">
        <v>-0.361</v>
      </c>
      <c r="J25">
        <v>121284.22</v>
      </c>
      <c r="K25">
        <v>66972.449</v>
      </c>
      <c r="L25" t="s">
        <v>103</v>
      </c>
      <c r="M25" t="s">
        <v>104</v>
      </c>
      <c r="N25" s="3">
        <v>45873</v>
      </c>
      <c r="O25">
        <v>24</v>
      </c>
      <c r="P25">
        <v>64</v>
      </c>
      <c r="Q25">
        <v>-40</v>
      </c>
      <c r="R25" t="s">
        <v>105</v>
      </c>
    </row>
    <row r="26" spans="1:18">
      <c r="A26" t="s">
        <v>44</v>
      </c>
      <c r="B26" s="3">
        <v>45818</v>
      </c>
      <c r="C26">
        <v>5.51</v>
      </c>
      <c r="D26">
        <v>5.52</v>
      </c>
      <c r="E26">
        <v>5.43</v>
      </c>
      <c r="F26">
        <v>5.46</v>
      </c>
      <c r="G26">
        <v>5.52</v>
      </c>
      <c r="H26">
        <v>-0.06</v>
      </c>
      <c r="I26">
        <v>-1.087</v>
      </c>
      <c r="J26">
        <v>167486.4</v>
      </c>
      <c r="K26">
        <v>91733.049</v>
      </c>
      <c r="L26" t="s">
        <v>103</v>
      </c>
      <c r="M26" t="s">
        <v>104</v>
      </c>
      <c r="N26" s="3">
        <v>45873</v>
      </c>
      <c r="O26">
        <v>25</v>
      </c>
      <c r="P26">
        <v>64</v>
      </c>
      <c r="Q26">
        <v>-39</v>
      </c>
      <c r="R26" t="s">
        <v>105</v>
      </c>
    </row>
    <row r="27" spans="1:18">
      <c r="A27" t="s">
        <v>44</v>
      </c>
      <c r="B27" s="3">
        <v>45819</v>
      </c>
      <c r="C27">
        <v>5.46</v>
      </c>
      <c r="D27">
        <v>5.49</v>
      </c>
      <c r="E27">
        <v>5.45</v>
      </c>
      <c r="F27">
        <v>5.46</v>
      </c>
      <c r="G27">
        <v>5.46</v>
      </c>
      <c r="H27">
        <v>0</v>
      </c>
      <c r="I27">
        <v>0</v>
      </c>
      <c r="J27">
        <v>105468</v>
      </c>
      <c r="K27">
        <v>57716.402</v>
      </c>
      <c r="L27" t="s">
        <v>103</v>
      </c>
      <c r="M27" t="s">
        <v>104</v>
      </c>
      <c r="N27" s="3">
        <v>45873</v>
      </c>
      <c r="O27">
        <v>26</v>
      </c>
      <c r="P27">
        <v>64</v>
      </c>
      <c r="Q27">
        <v>-38</v>
      </c>
      <c r="R27" t="s">
        <v>105</v>
      </c>
    </row>
    <row r="28" spans="1:18">
      <c r="A28" t="s">
        <v>44</v>
      </c>
      <c r="B28" s="3">
        <v>45820</v>
      </c>
      <c r="C28">
        <v>5.47</v>
      </c>
      <c r="D28">
        <v>5.48</v>
      </c>
      <c r="E28">
        <v>5.43</v>
      </c>
      <c r="F28">
        <v>5.45</v>
      </c>
      <c r="G28">
        <v>5.46</v>
      </c>
      <c r="H28">
        <v>-0.01</v>
      </c>
      <c r="I28">
        <v>-0.1832</v>
      </c>
      <c r="J28">
        <v>108063</v>
      </c>
      <c r="K28">
        <v>58866.535</v>
      </c>
      <c r="L28" t="s">
        <v>103</v>
      </c>
      <c r="M28" t="s">
        <v>104</v>
      </c>
      <c r="N28" s="3">
        <v>45873</v>
      </c>
      <c r="O28">
        <v>27</v>
      </c>
      <c r="P28">
        <v>64</v>
      </c>
      <c r="Q28">
        <v>-37</v>
      </c>
      <c r="R28" t="s">
        <v>105</v>
      </c>
    </row>
    <row r="29" spans="1:18">
      <c r="A29" t="s">
        <v>44</v>
      </c>
      <c r="B29" s="3">
        <v>45821</v>
      </c>
      <c r="C29">
        <v>5.44</v>
      </c>
      <c r="D29">
        <v>5.47</v>
      </c>
      <c r="E29">
        <v>5.38</v>
      </c>
      <c r="F29">
        <v>5.41</v>
      </c>
      <c r="G29">
        <v>5.45</v>
      </c>
      <c r="H29">
        <v>-0.04</v>
      </c>
      <c r="I29">
        <v>-0.7339</v>
      </c>
      <c r="J29">
        <v>239023</v>
      </c>
      <c r="K29">
        <v>129466.09</v>
      </c>
      <c r="L29" t="s">
        <v>103</v>
      </c>
      <c r="M29" t="s">
        <v>104</v>
      </c>
      <c r="N29" s="3">
        <v>45873</v>
      </c>
      <c r="O29">
        <v>28</v>
      </c>
      <c r="P29">
        <v>64</v>
      </c>
      <c r="Q29">
        <v>-36</v>
      </c>
      <c r="R29" t="s">
        <v>105</v>
      </c>
    </row>
    <row r="30" spans="1:18">
      <c r="A30" t="s">
        <v>44</v>
      </c>
      <c r="B30" s="3">
        <v>45824</v>
      </c>
      <c r="C30">
        <v>5.39</v>
      </c>
      <c r="D30">
        <v>5.45</v>
      </c>
      <c r="E30">
        <v>5.37</v>
      </c>
      <c r="F30">
        <v>5.41</v>
      </c>
      <c r="G30">
        <v>5.41</v>
      </c>
      <c r="H30">
        <v>0</v>
      </c>
      <c r="I30">
        <v>0</v>
      </c>
      <c r="J30">
        <v>144891.44</v>
      </c>
      <c r="K30">
        <v>78141.776</v>
      </c>
      <c r="L30" t="s">
        <v>103</v>
      </c>
      <c r="M30" t="s">
        <v>104</v>
      </c>
      <c r="N30" s="3">
        <v>45873</v>
      </c>
      <c r="O30">
        <v>29</v>
      </c>
      <c r="P30">
        <v>64</v>
      </c>
      <c r="Q30">
        <v>-35</v>
      </c>
      <c r="R30" t="s">
        <v>105</v>
      </c>
    </row>
    <row r="31" spans="1:18">
      <c r="A31" t="s">
        <v>44</v>
      </c>
      <c r="B31" s="3">
        <v>45825</v>
      </c>
      <c r="C31">
        <v>5.4</v>
      </c>
      <c r="D31">
        <v>5.46</v>
      </c>
      <c r="E31">
        <v>5.38</v>
      </c>
      <c r="F31">
        <v>5.46</v>
      </c>
      <c r="G31">
        <v>5.41</v>
      </c>
      <c r="H31">
        <v>0.05</v>
      </c>
      <c r="I31">
        <v>0.9242</v>
      </c>
      <c r="J31">
        <v>117168.01</v>
      </c>
      <c r="K31">
        <v>63478.375</v>
      </c>
      <c r="L31" t="s">
        <v>103</v>
      </c>
      <c r="M31" t="s">
        <v>104</v>
      </c>
      <c r="N31" s="3">
        <v>45873</v>
      </c>
      <c r="O31">
        <v>30</v>
      </c>
      <c r="P31">
        <v>64</v>
      </c>
      <c r="Q31">
        <v>-34</v>
      </c>
      <c r="R31" t="s">
        <v>105</v>
      </c>
    </row>
    <row r="32" spans="1:18">
      <c r="A32" t="s">
        <v>44</v>
      </c>
      <c r="B32" s="3">
        <v>45826</v>
      </c>
      <c r="C32">
        <v>5.46</v>
      </c>
      <c r="D32">
        <v>5.46</v>
      </c>
      <c r="E32">
        <v>5.35</v>
      </c>
      <c r="F32">
        <v>5.38</v>
      </c>
      <c r="G32">
        <v>5.46</v>
      </c>
      <c r="H32">
        <v>-0.08</v>
      </c>
      <c r="I32">
        <v>-1.4652</v>
      </c>
      <c r="J32">
        <v>124219.54</v>
      </c>
      <c r="K32">
        <v>66920.134</v>
      </c>
      <c r="L32" t="s">
        <v>103</v>
      </c>
      <c r="M32" t="s">
        <v>104</v>
      </c>
      <c r="N32" s="3">
        <v>45873</v>
      </c>
      <c r="O32">
        <v>31</v>
      </c>
      <c r="P32">
        <v>64</v>
      </c>
      <c r="Q32">
        <v>-33</v>
      </c>
      <c r="R32" t="s">
        <v>105</v>
      </c>
    </row>
    <row r="33" spans="1:18">
      <c r="A33" t="s">
        <v>44</v>
      </c>
      <c r="B33" s="3">
        <v>45827</v>
      </c>
      <c r="C33">
        <v>5.37</v>
      </c>
      <c r="D33">
        <v>5.39</v>
      </c>
      <c r="E33">
        <v>5.3</v>
      </c>
      <c r="F33">
        <v>5.34</v>
      </c>
      <c r="G33">
        <v>5.38</v>
      </c>
      <c r="H33">
        <v>-0.04</v>
      </c>
      <c r="I33">
        <v>-0.7435</v>
      </c>
      <c r="J33">
        <v>144792.03</v>
      </c>
      <c r="K33">
        <v>77312.837</v>
      </c>
      <c r="L33" t="s">
        <v>103</v>
      </c>
      <c r="M33" t="s">
        <v>104</v>
      </c>
      <c r="N33" s="3">
        <v>45873</v>
      </c>
      <c r="O33">
        <v>32</v>
      </c>
      <c r="P33">
        <v>64</v>
      </c>
      <c r="Q33">
        <v>-32</v>
      </c>
      <c r="R33" t="s">
        <v>105</v>
      </c>
    </row>
    <row r="34" spans="1:18">
      <c r="A34" t="s">
        <v>44</v>
      </c>
      <c r="B34" s="3">
        <v>45828</v>
      </c>
      <c r="C34">
        <v>5.33</v>
      </c>
      <c r="D34">
        <v>5.37</v>
      </c>
      <c r="E34">
        <v>5.31</v>
      </c>
      <c r="F34">
        <v>5.32</v>
      </c>
      <c r="G34">
        <v>5.34</v>
      </c>
      <c r="H34">
        <v>-0.02</v>
      </c>
      <c r="I34">
        <v>-0.3745</v>
      </c>
      <c r="J34">
        <v>78529</v>
      </c>
      <c r="K34">
        <v>41939.927</v>
      </c>
      <c r="L34" t="s">
        <v>103</v>
      </c>
      <c r="M34" t="s">
        <v>104</v>
      </c>
      <c r="N34" s="3">
        <v>45873</v>
      </c>
      <c r="O34">
        <v>33</v>
      </c>
      <c r="P34">
        <v>64</v>
      </c>
      <c r="Q34">
        <v>-31</v>
      </c>
      <c r="R34" t="s">
        <v>105</v>
      </c>
    </row>
    <row r="35" spans="1:18">
      <c r="A35" t="s">
        <v>44</v>
      </c>
      <c r="B35" s="3">
        <v>45831</v>
      </c>
      <c r="C35">
        <v>5.27</v>
      </c>
      <c r="D35">
        <v>5.32</v>
      </c>
      <c r="E35">
        <v>5.27</v>
      </c>
      <c r="F35">
        <v>5.3</v>
      </c>
      <c r="G35">
        <v>5.32</v>
      </c>
      <c r="H35">
        <v>-0.02</v>
      </c>
      <c r="I35">
        <v>-0.3759</v>
      </c>
      <c r="J35">
        <v>94827</v>
      </c>
      <c r="K35">
        <v>50218.687</v>
      </c>
      <c r="L35" t="s">
        <v>103</v>
      </c>
      <c r="M35" t="s">
        <v>104</v>
      </c>
      <c r="N35" s="3">
        <v>45873</v>
      </c>
      <c r="O35">
        <v>34</v>
      </c>
      <c r="P35">
        <v>64</v>
      </c>
      <c r="Q35">
        <v>-30</v>
      </c>
      <c r="R35" t="s">
        <v>105</v>
      </c>
    </row>
    <row r="36" spans="1:18">
      <c r="A36" t="s">
        <v>44</v>
      </c>
      <c r="B36" s="3">
        <v>45832</v>
      </c>
      <c r="C36">
        <v>5.3</v>
      </c>
      <c r="D36">
        <v>5.36</v>
      </c>
      <c r="E36">
        <v>5.3</v>
      </c>
      <c r="F36">
        <v>5.35</v>
      </c>
      <c r="G36">
        <v>5.3</v>
      </c>
      <c r="H36">
        <v>0.05</v>
      </c>
      <c r="I36">
        <v>0.9434</v>
      </c>
      <c r="J36">
        <v>114489</v>
      </c>
      <c r="K36">
        <v>61091.629</v>
      </c>
      <c r="L36" t="s">
        <v>103</v>
      </c>
      <c r="M36" t="s">
        <v>104</v>
      </c>
      <c r="N36" s="3">
        <v>45873</v>
      </c>
      <c r="O36">
        <v>35</v>
      </c>
      <c r="P36">
        <v>64</v>
      </c>
      <c r="Q36">
        <v>-29</v>
      </c>
      <c r="R36" t="s">
        <v>105</v>
      </c>
    </row>
    <row r="37" spans="1:18">
      <c r="A37" t="s">
        <v>44</v>
      </c>
      <c r="B37" s="3">
        <v>45833</v>
      </c>
      <c r="C37">
        <v>5.37</v>
      </c>
      <c r="D37">
        <v>5.39</v>
      </c>
      <c r="E37">
        <v>5.33</v>
      </c>
      <c r="F37">
        <v>5.38</v>
      </c>
      <c r="G37">
        <v>5.35</v>
      </c>
      <c r="H37">
        <v>0.03</v>
      </c>
      <c r="I37">
        <v>0.5607</v>
      </c>
      <c r="J37">
        <v>117973.5</v>
      </c>
      <c r="K37">
        <v>63212.444</v>
      </c>
      <c r="L37" t="s">
        <v>103</v>
      </c>
      <c r="M37" t="s">
        <v>104</v>
      </c>
      <c r="N37" s="3">
        <v>45873</v>
      </c>
      <c r="O37">
        <v>36</v>
      </c>
      <c r="P37">
        <v>64</v>
      </c>
      <c r="Q37">
        <v>-28</v>
      </c>
      <c r="R37" t="s">
        <v>105</v>
      </c>
    </row>
    <row r="38" spans="1:18">
      <c r="A38" t="s">
        <v>44</v>
      </c>
      <c r="B38" s="3">
        <v>45834</v>
      </c>
      <c r="C38">
        <v>5.38</v>
      </c>
      <c r="D38">
        <v>5.38</v>
      </c>
      <c r="E38">
        <v>5.35</v>
      </c>
      <c r="F38">
        <v>5.37</v>
      </c>
      <c r="G38">
        <v>5.38</v>
      </c>
      <c r="H38">
        <v>-0.01</v>
      </c>
      <c r="I38">
        <v>-0.1859</v>
      </c>
      <c r="J38">
        <v>102385.03</v>
      </c>
      <c r="K38">
        <v>54953.555</v>
      </c>
      <c r="L38" t="s">
        <v>103</v>
      </c>
      <c r="M38" t="s">
        <v>104</v>
      </c>
      <c r="N38" s="3">
        <v>45873</v>
      </c>
      <c r="O38">
        <v>37</v>
      </c>
      <c r="P38">
        <v>64</v>
      </c>
      <c r="Q38">
        <v>-27</v>
      </c>
      <c r="R38" t="s">
        <v>105</v>
      </c>
    </row>
    <row r="39" spans="1:18">
      <c r="A39" t="s">
        <v>44</v>
      </c>
      <c r="B39" s="3">
        <v>45835</v>
      </c>
      <c r="C39">
        <v>5.36</v>
      </c>
      <c r="D39">
        <v>5.39</v>
      </c>
      <c r="E39">
        <v>5.35</v>
      </c>
      <c r="F39">
        <v>5.37</v>
      </c>
      <c r="G39">
        <v>5.37</v>
      </c>
      <c r="H39">
        <v>0</v>
      </c>
      <c r="I39">
        <v>0</v>
      </c>
      <c r="J39">
        <v>125034.03</v>
      </c>
      <c r="K39">
        <v>67168.152</v>
      </c>
      <c r="L39" t="s">
        <v>103</v>
      </c>
      <c r="M39" t="s">
        <v>104</v>
      </c>
      <c r="N39" s="3">
        <v>45873</v>
      </c>
      <c r="O39">
        <v>38</v>
      </c>
      <c r="P39">
        <v>64</v>
      </c>
      <c r="Q39">
        <v>-26</v>
      </c>
      <c r="R39" t="s">
        <v>105</v>
      </c>
    </row>
    <row r="40" spans="1:18">
      <c r="A40" t="s">
        <v>44</v>
      </c>
      <c r="B40" s="3">
        <v>45838</v>
      </c>
      <c r="C40">
        <v>5.38</v>
      </c>
      <c r="D40">
        <v>5.43</v>
      </c>
      <c r="E40">
        <v>5.36</v>
      </c>
      <c r="F40">
        <v>5.43</v>
      </c>
      <c r="G40">
        <v>5.37</v>
      </c>
      <c r="H40">
        <v>0.06</v>
      </c>
      <c r="I40">
        <v>1.1173</v>
      </c>
      <c r="J40">
        <v>145958.41</v>
      </c>
      <c r="K40">
        <v>78980.418</v>
      </c>
      <c r="L40" t="s">
        <v>103</v>
      </c>
      <c r="M40" t="s">
        <v>104</v>
      </c>
      <c r="N40" s="3">
        <v>45873</v>
      </c>
      <c r="O40">
        <v>39</v>
      </c>
      <c r="P40">
        <v>64</v>
      </c>
      <c r="Q40">
        <v>-25</v>
      </c>
      <c r="R40" t="s">
        <v>105</v>
      </c>
    </row>
    <row r="41" spans="1:18">
      <c r="A41" t="s">
        <v>44</v>
      </c>
      <c r="B41" s="3">
        <v>45839</v>
      </c>
      <c r="C41">
        <v>5.44</v>
      </c>
      <c r="D41">
        <v>5.46</v>
      </c>
      <c r="E41">
        <v>5.41</v>
      </c>
      <c r="F41">
        <v>5.45</v>
      </c>
      <c r="G41">
        <v>5.43</v>
      </c>
      <c r="H41">
        <v>0.02</v>
      </c>
      <c r="I41">
        <v>0.3683</v>
      </c>
      <c r="J41">
        <v>122961.01</v>
      </c>
      <c r="K41">
        <v>66885.646</v>
      </c>
      <c r="L41" t="s">
        <v>103</v>
      </c>
      <c r="M41" t="s">
        <v>104</v>
      </c>
      <c r="N41" s="3">
        <v>45873</v>
      </c>
      <c r="O41">
        <v>40</v>
      </c>
      <c r="P41">
        <v>64</v>
      </c>
      <c r="Q41">
        <v>-24</v>
      </c>
      <c r="R41" t="s">
        <v>105</v>
      </c>
    </row>
    <row r="42" spans="1:18">
      <c r="A42" t="s">
        <v>44</v>
      </c>
      <c r="B42" s="3">
        <v>45840</v>
      </c>
      <c r="C42">
        <v>5.43</v>
      </c>
      <c r="D42">
        <v>5.48</v>
      </c>
      <c r="E42">
        <v>5.43</v>
      </c>
      <c r="F42">
        <v>5.47</v>
      </c>
      <c r="G42">
        <v>5.45</v>
      </c>
      <c r="H42">
        <v>0.02</v>
      </c>
      <c r="I42">
        <v>0.367</v>
      </c>
      <c r="J42">
        <v>104768.01</v>
      </c>
      <c r="K42">
        <v>57189.155</v>
      </c>
      <c r="L42" t="s">
        <v>103</v>
      </c>
      <c r="M42" t="s">
        <v>104</v>
      </c>
      <c r="N42" s="3">
        <v>45873</v>
      </c>
      <c r="O42">
        <v>41</v>
      </c>
      <c r="P42">
        <v>64</v>
      </c>
      <c r="Q42">
        <v>-23</v>
      </c>
      <c r="R42" t="s">
        <v>105</v>
      </c>
    </row>
    <row r="43" spans="1:18">
      <c r="A43" t="s">
        <v>44</v>
      </c>
      <c r="B43" s="3">
        <v>45841</v>
      </c>
      <c r="C43">
        <v>5.47</v>
      </c>
      <c r="D43">
        <v>5.47</v>
      </c>
      <c r="E43">
        <v>5.44</v>
      </c>
      <c r="F43">
        <v>5.46</v>
      </c>
      <c r="G43">
        <v>5.47</v>
      </c>
      <c r="H43">
        <v>-0.01</v>
      </c>
      <c r="I43">
        <v>-0.1828</v>
      </c>
      <c r="J43">
        <v>71309</v>
      </c>
      <c r="K43">
        <v>38894.277</v>
      </c>
      <c r="L43" t="s">
        <v>103</v>
      </c>
      <c r="M43" t="s">
        <v>104</v>
      </c>
      <c r="N43" s="3">
        <v>45873</v>
      </c>
      <c r="O43">
        <v>42</v>
      </c>
      <c r="P43">
        <v>64</v>
      </c>
      <c r="Q43">
        <v>-22</v>
      </c>
      <c r="R43" t="s">
        <v>105</v>
      </c>
    </row>
    <row r="44" spans="1:18">
      <c r="A44" t="s">
        <v>44</v>
      </c>
      <c r="B44" s="3">
        <v>45842</v>
      </c>
      <c r="C44">
        <v>5.46</v>
      </c>
      <c r="D44">
        <v>5.5</v>
      </c>
      <c r="E44">
        <v>5.44</v>
      </c>
      <c r="F44">
        <v>5.46</v>
      </c>
      <c r="G44">
        <v>5.46</v>
      </c>
      <c r="H44">
        <v>0</v>
      </c>
      <c r="I44">
        <v>0</v>
      </c>
      <c r="J44">
        <v>128372</v>
      </c>
      <c r="K44">
        <v>70220.827</v>
      </c>
      <c r="L44" t="s">
        <v>103</v>
      </c>
      <c r="M44" t="s">
        <v>104</v>
      </c>
      <c r="N44" s="3">
        <v>45873</v>
      </c>
      <c r="O44">
        <v>43</v>
      </c>
      <c r="P44">
        <v>64</v>
      </c>
      <c r="Q44">
        <v>-21</v>
      </c>
      <c r="R44" t="s">
        <v>105</v>
      </c>
    </row>
    <row r="45" spans="1:18">
      <c r="A45" t="s">
        <v>44</v>
      </c>
      <c r="B45" s="3">
        <v>45845</v>
      </c>
      <c r="C45">
        <v>5.49</v>
      </c>
      <c r="D45">
        <v>5.54</v>
      </c>
      <c r="E45">
        <v>5.46</v>
      </c>
      <c r="F45">
        <v>5.53</v>
      </c>
      <c r="G45">
        <v>5.46</v>
      </c>
      <c r="H45">
        <v>0.07</v>
      </c>
      <c r="I45">
        <v>1.2821</v>
      </c>
      <c r="J45">
        <v>206398.06</v>
      </c>
      <c r="K45">
        <v>113512.928</v>
      </c>
      <c r="L45" t="s">
        <v>103</v>
      </c>
      <c r="M45" t="s">
        <v>104</v>
      </c>
      <c r="N45" s="3">
        <v>45873</v>
      </c>
      <c r="O45">
        <v>44</v>
      </c>
      <c r="P45">
        <v>64</v>
      </c>
      <c r="Q45">
        <v>-20</v>
      </c>
      <c r="R45" t="s">
        <v>105</v>
      </c>
    </row>
    <row r="46" spans="1:18">
      <c r="A46" t="s">
        <v>44</v>
      </c>
      <c r="B46" s="3">
        <v>45846</v>
      </c>
      <c r="C46">
        <v>5.42</v>
      </c>
      <c r="D46">
        <v>5.44</v>
      </c>
      <c r="E46">
        <v>5.38</v>
      </c>
      <c r="F46">
        <v>5.43</v>
      </c>
      <c r="G46">
        <v>5.43</v>
      </c>
      <c r="H46">
        <v>0</v>
      </c>
      <c r="I46">
        <v>0</v>
      </c>
      <c r="J46">
        <v>181881</v>
      </c>
      <c r="K46">
        <v>98385.547</v>
      </c>
      <c r="L46" t="s">
        <v>103</v>
      </c>
      <c r="M46" t="s">
        <v>104</v>
      </c>
      <c r="N46" s="3">
        <v>45873</v>
      </c>
      <c r="O46">
        <v>45</v>
      </c>
      <c r="P46">
        <v>64</v>
      </c>
      <c r="Q46">
        <v>-19</v>
      </c>
      <c r="R46" t="s">
        <v>105</v>
      </c>
    </row>
    <row r="47" spans="1:18">
      <c r="A47" t="s">
        <v>44</v>
      </c>
      <c r="B47" s="3">
        <v>45847</v>
      </c>
      <c r="C47">
        <v>5.5</v>
      </c>
      <c r="D47">
        <v>5.97</v>
      </c>
      <c r="E47">
        <v>5.49</v>
      </c>
      <c r="F47">
        <v>5.97</v>
      </c>
      <c r="G47">
        <v>5.43</v>
      </c>
      <c r="H47">
        <v>0.54</v>
      </c>
      <c r="I47">
        <v>9.9448</v>
      </c>
      <c r="J47">
        <v>2026480.27</v>
      </c>
      <c r="K47">
        <v>1194483.732</v>
      </c>
      <c r="L47" t="s">
        <v>103</v>
      </c>
      <c r="M47" t="s">
        <v>104</v>
      </c>
      <c r="N47" s="3">
        <v>45873</v>
      </c>
      <c r="O47">
        <v>46</v>
      </c>
      <c r="P47">
        <v>64</v>
      </c>
      <c r="Q47">
        <v>-18</v>
      </c>
      <c r="R47" t="s">
        <v>105</v>
      </c>
    </row>
    <row r="48" spans="1:18">
      <c r="A48" t="s">
        <v>44</v>
      </c>
      <c r="B48" s="3">
        <v>45848</v>
      </c>
      <c r="C48">
        <v>5.96</v>
      </c>
      <c r="D48">
        <v>5.99</v>
      </c>
      <c r="E48">
        <v>5.76</v>
      </c>
      <c r="F48">
        <v>5.78</v>
      </c>
      <c r="G48">
        <v>5.97</v>
      </c>
      <c r="H48">
        <v>-0.19</v>
      </c>
      <c r="I48">
        <v>-3.1826</v>
      </c>
      <c r="J48">
        <v>1661623.37</v>
      </c>
      <c r="K48">
        <v>972106.663</v>
      </c>
      <c r="L48" t="s">
        <v>103</v>
      </c>
      <c r="M48" t="s">
        <v>104</v>
      </c>
      <c r="N48" s="3">
        <v>45873</v>
      </c>
      <c r="O48">
        <v>47</v>
      </c>
      <c r="P48">
        <v>64</v>
      </c>
      <c r="Q48">
        <v>-17</v>
      </c>
      <c r="R48" t="s">
        <v>105</v>
      </c>
    </row>
    <row r="49" spans="1:18">
      <c r="A49" t="s">
        <v>44</v>
      </c>
      <c r="B49" s="3">
        <v>45849</v>
      </c>
      <c r="C49">
        <v>5.8</v>
      </c>
      <c r="D49">
        <v>5.85</v>
      </c>
      <c r="E49">
        <v>5.68</v>
      </c>
      <c r="F49">
        <v>5.71</v>
      </c>
      <c r="G49">
        <v>5.78</v>
      </c>
      <c r="H49">
        <v>-0.07</v>
      </c>
      <c r="I49">
        <v>-1.2111</v>
      </c>
      <c r="J49">
        <v>750392.5</v>
      </c>
      <c r="K49">
        <v>429887.36</v>
      </c>
      <c r="L49" t="s">
        <v>103</v>
      </c>
      <c r="M49" t="s">
        <v>104</v>
      </c>
      <c r="N49" s="3">
        <v>45873</v>
      </c>
      <c r="O49">
        <v>48</v>
      </c>
      <c r="P49">
        <v>64</v>
      </c>
      <c r="Q49">
        <v>-16</v>
      </c>
      <c r="R49" t="s">
        <v>105</v>
      </c>
    </row>
    <row r="50" spans="1:18">
      <c r="A50" t="s">
        <v>44</v>
      </c>
      <c r="B50" s="3">
        <v>45852</v>
      </c>
      <c r="C50">
        <v>5.71</v>
      </c>
      <c r="D50">
        <v>5.82</v>
      </c>
      <c r="E50">
        <v>5.68</v>
      </c>
      <c r="F50">
        <v>5.68</v>
      </c>
      <c r="G50">
        <v>5.71</v>
      </c>
      <c r="H50">
        <v>-0.03</v>
      </c>
      <c r="I50">
        <v>-0.5254</v>
      </c>
      <c r="J50">
        <v>527551.08</v>
      </c>
      <c r="K50">
        <v>302889.216</v>
      </c>
      <c r="L50" t="s">
        <v>103</v>
      </c>
      <c r="M50" t="s">
        <v>104</v>
      </c>
      <c r="N50" s="3">
        <v>45873</v>
      </c>
      <c r="O50">
        <v>49</v>
      </c>
      <c r="P50">
        <v>64</v>
      </c>
      <c r="Q50">
        <v>-15</v>
      </c>
      <c r="R50" t="s">
        <v>105</v>
      </c>
    </row>
    <row r="51" spans="1:18">
      <c r="A51" t="s">
        <v>44</v>
      </c>
      <c r="B51" s="3">
        <v>45853</v>
      </c>
      <c r="C51">
        <v>5.7</v>
      </c>
      <c r="D51">
        <v>5.73</v>
      </c>
      <c r="E51">
        <v>5.59</v>
      </c>
      <c r="F51">
        <v>5.63</v>
      </c>
      <c r="G51">
        <v>5.68</v>
      </c>
      <c r="H51">
        <v>-0.05</v>
      </c>
      <c r="I51">
        <v>-0.8803</v>
      </c>
      <c r="J51">
        <v>393337.84</v>
      </c>
      <c r="K51">
        <v>221476.327</v>
      </c>
      <c r="L51" t="s">
        <v>103</v>
      </c>
      <c r="M51" t="s">
        <v>104</v>
      </c>
      <c r="N51" s="3">
        <v>45873</v>
      </c>
      <c r="O51">
        <v>50</v>
      </c>
      <c r="P51">
        <v>64</v>
      </c>
      <c r="Q51">
        <v>-14</v>
      </c>
      <c r="R51" t="s">
        <v>105</v>
      </c>
    </row>
    <row r="52" spans="1:18">
      <c r="A52" t="s">
        <v>44</v>
      </c>
      <c r="B52" s="3">
        <v>45854</v>
      </c>
      <c r="C52">
        <v>5.67</v>
      </c>
      <c r="D52">
        <v>5.71</v>
      </c>
      <c r="E52">
        <v>5.64</v>
      </c>
      <c r="F52">
        <v>5.68</v>
      </c>
      <c r="G52">
        <v>5.63</v>
      </c>
      <c r="H52">
        <v>0.05</v>
      </c>
      <c r="I52">
        <v>0.8881</v>
      </c>
      <c r="J52">
        <v>372930</v>
      </c>
      <c r="K52">
        <v>211783.749</v>
      </c>
      <c r="L52" t="s">
        <v>103</v>
      </c>
      <c r="M52" t="s">
        <v>104</v>
      </c>
      <c r="N52" s="3">
        <v>45873</v>
      </c>
      <c r="O52">
        <v>51</v>
      </c>
      <c r="P52">
        <v>64</v>
      </c>
      <c r="Q52">
        <v>-13</v>
      </c>
      <c r="R52" t="s">
        <v>105</v>
      </c>
    </row>
    <row r="53" spans="1:18">
      <c r="A53" t="s">
        <v>44</v>
      </c>
      <c r="B53" s="3">
        <v>45855</v>
      </c>
      <c r="C53">
        <v>5.69</v>
      </c>
      <c r="D53">
        <v>5.71</v>
      </c>
      <c r="E53">
        <v>5.62</v>
      </c>
      <c r="F53">
        <v>5.65</v>
      </c>
      <c r="G53">
        <v>5.68</v>
      </c>
      <c r="H53">
        <v>-0.03</v>
      </c>
      <c r="I53">
        <v>-0.5282</v>
      </c>
      <c r="J53">
        <v>375725.08</v>
      </c>
      <c r="K53">
        <v>212526.562</v>
      </c>
      <c r="L53" t="s">
        <v>103</v>
      </c>
      <c r="M53" t="s">
        <v>104</v>
      </c>
      <c r="N53" s="3">
        <v>45873</v>
      </c>
      <c r="O53">
        <v>52</v>
      </c>
      <c r="P53">
        <v>64</v>
      </c>
      <c r="Q53">
        <v>-12</v>
      </c>
      <c r="R53" t="s">
        <v>105</v>
      </c>
    </row>
    <row r="54" spans="1:18">
      <c r="A54" t="s">
        <v>44</v>
      </c>
      <c r="B54" s="3">
        <v>45856</v>
      </c>
      <c r="C54">
        <v>5.65</v>
      </c>
      <c r="D54">
        <v>5.69</v>
      </c>
      <c r="E54">
        <v>5.62</v>
      </c>
      <c r="F54">
        <v>5.67</v>
      </c>
      <c r="G54">
        <v>5.65</v>
      </c>
      <c r="H54">
        <v>0.02</v>
      </c>
      <c r="I54">
        <v>0.354</v>
      </c>
      <c r="J54">
        <v>332679.37</v>
      </c>
      <c r="K54">
        <v>187913.556</v>
      </c>
      <c r="L54" t="s">
        <v>103</v>
      </c>
      <c r="M54" t="s">
        <v>104</v>
      </c>
      <c r="N54" s="3">
        <v>45873</v>
      </c>
      <c r="O54">
        <v>53</v>
      </c>
      <c r="P54">
        <v>64</v>
      </c>
      <c r="Q54">
        <v>-11</v>
      </c>
      <c r="R54" t="s">
        <v>105</v>
      </c>
    </row>
    <row r="55" spans="1:18">
      <c r="A55" t="s">
        <v>44</v>
      </c>
      <c r="B55" s="3">
        <v>45859</v>
      </c>
      <c r="C55">
        <v>5.68</v>
      </c>
      <c r="D55">
        <v>5.7</v>
      </c>
      <c r="E55">
        <v>5.65</v>
      </c>
      <c r="F55">
        <v>5.7</v>
      </c>
      <c r="G55">
        <v>5.67</v>
      </c>
      <c r="H55">
        <v>0.03</v>
      </c>
      <c r="I55">
        <v>0.5291</v>
      </c>
      <c r="J55">
        <v>320333.63</v>
      </c>
      <c r="K55">
        <v>181827.614</v>
      </c>
      <c r="L55" t="s">
        <v>103</v>
      </c>
      <c r="M55" t="s">
        <v>104</v>
      </c>
      <c r="N55" s="3">
        <v>45873</v>
      </c>
      <c r="O55">
        <v>54</v>
      </c>
      <c r="P55">
        <v>64</v>
      </c>
      <c r="Q55">
        <v>-10</v>
      </c>
      <c r="R55" t="s">
        <v>105</v>
      </c>
    </row>
    <row r="56" spans="1:18">
      <c r="A56" t="s">
        <v>44</v>
      </c>
      <c r="B56" s="3">
        <v>45860</v>
      </c>
      <c r="C56">
        <v>5.69</v>
      </c>
      <c r="D56">
        <v>5.7</v>
      </c>
      <c r="E56">
        <v>5.63</v>
      </c>
      <c r="F56">
        <v>5.7</v>
      </c>
      <c r="G56">
        <v>5.7</v>
      </c>
      <c r="H56">
        <v>0</v>
      </c>
      <c r="I56">
        <v>0</v>
      </c>
      <c r="J56">
        <v>345949.01</v>
      </c>
      <c r="K56">
        <v>196036.762</v>
      </c>
      <c r="L56" t="s">
        <v>103</v>
      </c>
      <c r="M56" t="s">
        <v>104</v>
      </c>
      <c r="N56" s="3">
        <v>45873</v>
      </c>
      <c r="O56">
        <v>55</v>
      </c>
      <c r="P56">
        <v>64</v>
      </c>
      <c r="Q56">
        <v>-9</v>
      </c>
      <c r="R56" t="s">
        <v>105</v>
      </c>
    </row>
    <row r="57" spans="1:18">
      <c r="A57" t="s">
        <v>44</v>
      </c>
      <c r="B57" s="3">
        <v>45861</v>
      </c>
      <c r="C57">
        <v>5.69</v>
      </c>
      <c r="D57">
        <v>5.72</v>
      </c>
      <c r="E57">
        <v>5.61</v>
      </c>
      <c r="F57">
        <v>5.62</v>
      </c>
      <c r="G57">
        <v>5.7</v>
      </c>
      <c r="H57">
        <v>-0.08</v>
      </c>
      <c r="I57">
        <v>-1.4035</v>
      </c>
      <c r="J57">
        <v>300249.65</v>
      </c>
      <c r="K57">
        <v>169923.741</v>
      </c>
      <c r="L57" t="s">
        <v>103</v>
      </c>
      <c r="M57" t="s">
        <v>104</v>
      </c>
      <c r="N57" s="3">
        <v>45873</v>
      </c>
      <c r="O57">
        <v>56</v>
      </c>
      <c r="P57">
        <v>64</v>
      </c>
      <c r="Q57">
        <v>-8</v>
      </c>
      <c r="R57" t="s">
        <v>105</v>
      </c>
    </row>
    <row r="58" spans="1:18">
      <c r="A58" t="s">
        <v>44</v>
      </c>
      <c r="B58" s="3">
        <v>45862</v>
      </c>
      <c r="C58">
        <v>5.64</v>
      </c>
      <c r="D58">
        <v>5.69</v>
      </c>
      <c r="E58">
        <v>5.63</v>
      </c>
      <c r="F58">
        <v>5.69</v>
      </c>
      <c r="G58">
        <v>5.62</v>
      </c>
      <c r="H58">
        <v>0.07</v>
      </c>
      <c r="I58">
        <v>1.2456</v>
      </c>
      <c r="J58">
        <v>253098.7</v>
      </c>
      <c r="K58">
        <v>143327.423</v>
      </c>
      <c r="L58" t="s">
        <v>103</v>
      </c>
      <c r="M58" t="s">
        <v>104</v>
      </c>
      <c r="N58" s="3">
        <v>45873</v>
      </c>
      <c r="O58">
        <v>57</v>
      </c>
      <c r="P58">
        <v>64</v>
      </c>
      <c r="Q58">
        <v>-7</v>
      </c>
      <c r="R58" t="s">
        <v>105</v>
      </c>
    </row>
    <row r="59" spans="1:18">
      <c r="A59" t="s">
        <v>44</v>
      </c>
      <c r="B59" s="3">
        <v>45863</v>
      </c>
      <c r="C59">
        <v>5.68</v>
      </c>
      <c r="D59">
        <v>5.7</v>
      </c>
      <c r="E59">
        <v>5.65</v>
      </c>
      <c r="F59">
        <v>5.66</v>
      </c>
      <c r="G59">
        <v>5.69</v>
      </c>
      <c r="H59">
        <v>-0.03</v>
      </c>
      <c r="I59">
        <v>-0.5272</v>
      </c>
      <c r="J59">
        <v>192234.36</v>
      </c>
      <c r="K59">
        <v>108947.344</v>
      </c>
      <c r="L59" t="s">
        <v>103</v>
      </c>
      <c r="M59" t="s">
        <v>104</v>
      </c>
      <c r="N59" s="3">
        <v>45873</v>
      </c>
      <c r="O59">
        <v>58</v>
      </c>
      <c r="P59">
        <v>64</v>
      </c>
      <c r="Q59">
        <v>-6</v>
      </c>
      <c r="R59" t="s">
        <v>105</v>
      </c>
    </row>
    <row r="60" spans="1:18">
      <c r="A60" t="s">
        <v>44</v>
      </c>
      <c r="B60" s="3">
        <v>45866</v>
      </c>
      <c r="C60">
        <v>5.7</v>
      </c>
      <c r="D60">
        <v>5.7</v>
      </c>
      <c r="E60">
        <v>5.65</v>
      </c>
      <c r="F60">
        <v>5.66</v>
      </c>
      <c r="G60">
        <v>5.66</v>
      </c>
      <c r="H60">
        <v>0</v>
      </c>
      <c r="I60">
        <v>0</v>
      </c>
      <c r="J60">
        <v>171715</v>
      </c>
      <c r="K60">
        <v>97308.148</v>
      </c>
      <c r="L60" t="s">
        <v>103</v>
      </c>
      <c r="M60" t="s">
        <v>104</v>
      </c>
      <c r="N60" s="3">
        <v>45873</v>
      </c>
      <c r="O60">
        <v>59</v>
      </c>
      <c r="P60">
        <v>64</v>
      </c>
      <c r="Q60">
        <v>-5</v>
      </c>
      <c r="R60" t="s">
        <v>105</v>
      </c>
    </row>
    <row r="61" spans="1:18">
      <c r="A61" t="s">
        <v>44</v>
      </c>
      <c r="B61" s="3">
        <v>45867</v>
      </c>
      <c r="C61">
        <v>5.66</v>
      </c>
      <c r="D61">
        <v>5.71</v>
      </c>
      <c r="E61">
        <v>5.61</v>
      </c>
      <c r="F61">
        <v>5.7</v>
      </c>
      <c r="G61">
        <v>5.66</v>
      </c>
      <c r="H61">
        <v>0.04</v>
      </c>
      <c r="I61">
        <v>0.7067</v>
      </c>
      <c r="J61">
        <v>293766.99</v>
      </c>
      <c r="K61">
        <v>166037.103</v>
      </c>
      <c r="L61" t="s">
        <v>103</v>
      </c>
      <c r="M61" t="s">
        <v>104</v>
      </c>
      <c r="N61" s="3">
        <v>45873</v>
      </c>
      <c r="O61">
        <v>60</v>
      </c>
      <c r="P61">
        <v>64</v>
      </c>
      <c r="Q61">
        <v>-4</v>
      </c>
      <c r="R61" t="s">
        <v>105</v>
      </c>
    </row>
    <row r="62" spans="1:18">
      <c r="A62" t="s">
        <v>44</v>
      </c>
      <c r="B62" s="3">
        <v>45868</v>
      </c>
      <c r="C62">
        <v>5.68</v>
      </c>
      <c r="D62">
        <v>5.71</v>
      </c>
      <c r="E62">
        <v>5.63</v>
      </c>
      <c r="F62">
        <v>5.64</v>
      </c>
      <c r="G62">
        <v>5.7</v>
      </c>
      <c r="H62">
        <v>-0.06</v>
      </c>
      <c r="I62">
        <v>-1.0526</v>
      </c>
      <c r="J62">
        <v>229543.89</v>
      </c>
      <c r="K62">
        <v>130073.414</v>
      </c>
      <c r="L62" t="s">
        <v>103</v>
      </c>
      <c r="M62" t="s">
        <v>104</v>
      </c>
      <c r="N62" s="3">
        <v>45873</v>
      </c>
      <c r="O62">
        <v>61</v>
      </c>
      <c r="P62">
        <v>64</v>
      </c>
      <c r="Q62">
        <v>-3</v>
      </c>
      <c r="R62" t="s">
        <v>105</v>
      </c>
    </row>
    <row r="63" spans="1:18">
      <c r="A63" t="s">
        <v>44</v>
      </c>
      <c r="B63" s="3">
        <v>45869</v>
      </c>
      <c r="C63">
        <v>5.65</v>
      </c>
      <c r="D63">
        <v>5.65</v>
      </c>
      <c r="E63">
        <v>5.5</v>
      </c>
      <c r="F63">
        <v>5.51</v>
      </c>
      <c r="G63">
        <v>5.64</v>
      </c>
      <c r="H63">
        <v>-0.13</v>
      </c>
      <c r="I63">
        <v>-2.305</v>
      </c>
      <c r="J63">
        <v>329839</v>
      </c>
      <c r="K63">
        <v>183000.548</v>
      </c>
      <c r="L63" t="s">
        <v>103</v>
      </c>
      <c r="M63" t="s">
        <v>104</v>
      </c>
      <c r="N63" s="3">
        <v>45873</v>
      </c>
      <c r="O63">
        <v>62</v>
      </c>
      <c r="P63">
        <v>64</v>
      </c>
      <c r="Q63">
        <v>-2</v>
      </c>
      <c r="R63" t="s">
        <v>105</v>
      </c>
    </row>
    <row r="64" spans="1:18">
      <c r="A64" t="s">
        <v>44</v>
      </c>
      <c r="B64" s="3">
        <v>45870</v>
      </c>
      <c r="C64">
        <v>5.53</v>
      </c>
      <c r="D64">
        <v>5.55</v>
      </c>
      <c r="E64">
        <v>5.5</v>
      </c>
      <c r="F64">
        <v>5.54</v>
      </c>
      <c r="G64">
        <v>5.51</v>
      </c>
      <c r="H64">
        <v>0.03</v>
      </c>
      <c r="I64">
        <v>0.5445</v>
      </c>
      <c r="J64">
        <v>141770</v>
      </c>
      <c r="K64">
        <v>78402.759</v>
      </c>
      <c r="L64" t="s">
        <v>103</v>
      </c>
      <c r="M64" t="s">
        <v>104</v>
      </c>
      <c r="N64" s="3">
        <v>45873</v>
      </c>
      <c r="O64">
        <v>63</v>
      </c>
      <c r="P64">
        <v>64</v>
      </c>
      <c r="Q64">
        <v>-1</v>
      </c>
      <c r="R64" t="s">
        <v>105</v>
      </c>
    </row>
    <row r="65" spans="1:19">
      <c r="A65" t="s">
        <v>44</v>
      </c>
      <c r="B65" s="3">
        <v>45873</v>
      </c>
      <c r="C65">
        <v>5.56</v>
      </c>
      <c r="D65">
        <v>5.61</v>
      </c>
      <c r="E65">
        <v>5.55</v>
      </c>
      <c r="F65">
        <v>5.58</v>
      </c>
      <c r="G65">
        <v>5.54</v>
      </c>
      <c r="H65">
        <v>0.04</v>
      </c>
      <c r="I65">
        <v>0.722</v>
      </c>
      <c r="J65">
        <v>181790.06</v>
      </c>
      <c r="K65">
        <v>101302.896</v>
      </c>
      <c r="L65" t="s">
        <v>103</v>
      </c>
      <c r="M65" t="s">
        <v>104</v>
      </c>
      <c r="N65" s="3">
        <v>45873</v>
      </c>
      <c r="O65">
        <v>64</v>
      </c>
      <c r="P65">
        <v>64</v>
      </c>
      <c r="Q65">
        <v>0</v>
      </c>
      <c r="R65" t="s">
        <v>106</v>
      </c>
      <c r="S65" t="s">
        <v>144</v>
      </c>
    </row>
    <row r="66" spans="1:19">
      <c r="A66" t="s">
        <v>44</v>
      </c>
      <c r="B66" s="3">
        <v>45874</v>
      </c>
      <c r="C66">
        <v>5.57</v>
      </c>
      <c r="D66">
        <v>5.59</v>
      </c>
      <c r="E66">
        <v>5.55</v>
      </c>
      <c r="F66">
        <v>5.58</v>
      </c>
      <c r="G66">
        <v>5.58</v>
      </c>
      <c r="H66">
        <v>0</v>
      </c>
      <c r="I66">
        <v>0</v>
      </c>
      <c r="J66">
        <v>145157</v>
      </c>
      <c r="K66">
        <v>80855.36</v>
      </c>
      <c r="L66" t="s">
        <v>103</v>
      </c>
      <c r="M66" t="s">
        <v>104</v>
      </c>
      <c r="N66" s="3">
        <v>45873</v>
      </c>
      <c r="O66">
        <v>65</v>
      </c>
      <c r="P66">
        <v>64</v>
      </c>
      <c r="Q66">
        <v>1</v>
      </c>
      <c r="R66" t="s">
        <v>107</v>
      </c>
    </row>
    <row r="67" spans="1:19">
      <c r="A67" t="s">
        <v>44</v>
      </c>
      <c r="B67" s="3">
        <v>45875</v>
      </c>
      <c r="C67">
        <v>5.58</v>
      </c>
      <c r="D67">
        <v>5.59</v>
      </c>
      <c r="E67">
        <v>5.54</v>
      </c>
      <c r="F67">
        <v>5.58</v>
      </c>
      <c r="G67">
        <v>5.58</v>
      </c>
      <c r="H67">
        <v>0</v>
      </c>
      <c r="I67">
        <v>0</v>
      </c>
      <c r="J67">
        <v>162472</v>
      </c>
      <c r="K67">
        <v>90385.524</v>
      </c>
      <c r="L67" t="s">
        <v>103</v>
      </c>
      <c r="M67" t="s">
        <v>104</v>
      </c>
      <c r="N67" s="3">
        <v>45873</v>
      </c>
      <c r="O67">
        <v>66</v>
      </c>
      <c r="P67">
        <v>64</v>
      </c>
      <c r="Q67">
        <v>2</v>
      </c>
      <c r="R67" t="s">
        <v>107</v>
      </c>
    </row>
    <row r="68" spans="1:19">
      <c r="A68" t="s">
        <v>44</v>
      </c>
      <c r="B68" s="3">
        <v>45876</v>
      </c>
      <c r="C68">
        <v>5.59</v>
      </c>
      <c r="D68">
        <v>5.59</v>
      </c>
      <c r="E68">
        <v>5.55</v>
      </c>
      <c r="F68">
        <v>5.56</v>
      </c>
      <c r="G68">
        <v>5.58</v>
      </c>
      <c r="H68">
        <v>-0.02</v>
      </c>
      <c r="I68">
        <v>-0.3584</v>
      </c>
      <c r="J68">
        <v>129286.96</v>
      </c>
      <c r="K68">
        <v>71953.563</v>
      </c>
      <c r="L68" t="s">
        <v>103</v>
      </c>
      <c r="M68" t="s">
        <v>104</v>
      </c>
      <c r="N68" s="3">
        <v>45873</v>
      </c>
      <c r="O68">
        <v>67</v>
      </c>
      <c r="P68">
        <v>64</v>
      </c>
      <c r="Q68">
        <v>3</v>
      </c>
      <c r="R68" t="s">
        <v>107</v>
      </c>
    </row>
    <row r="69" spans="1:19">
      <c r="A69" t="s">
        <v>44</v>
      </c>
      <c r="B69" s="3">
        <v>45877</v>
      </c>
      <c r="C69">
        <v>5.58</v>
      </c>
      <c r="D69">
        <v>5.63</v>
      </c>
      <c r="E69">
        <v>5.54</v>
      </c>
      <c r="F69">
        <v>5.6</v>
      </c>
      <c r="G69">
        <v>5.56</v>
      </c>
      <c r="H69">
        <v>0.04</v>
      </c>
      <c r="I69">
        <v>0.7194</v>
      </c>
      <c r="J69">
        <v>215695.34</v>
      </c>
      <c r="K69">
        <v>120653.371</v>
      </c>
      <c r="L69" t="s">
        <v>103</v>
      </c>
      <c r="M69" t="s">
        <v>104</v>
      </c>
      <c r="N69" s="3">
        <v>45873</v>
      </c>
      <c r="O69">
        <v>68</v>
      </c>
      <c r="P69">
        <v>64</v>
      </c>
      <c r="Q69">
        <v>4</v>
      </c>
      <c r="R69" t="s">
        <v>107</v>
      </c>
    </row>
  </sheetData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46</v>
      </c>
    </row>
    <row r="3" spans="1:2">
      <c r="A3" s="5" t="s">
        <v>75</v>
      </c>
      <c r="B3" s="6" t="s">
        <v>47</v>
      </c>
    </row>
    <row r="4" spans="1:2">
      <c r="A4" s="5" t="s">
        <v>2</v>
      </c>
      <c r="B4" s="7">
        <v>45770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45770</v>
      </c>
    </row>
    <row r="9" spans="1:2">
      <c r="A9" s="5" t="s">
        <v>1</v>
      </c>
      <c r="B9">
        <v>14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145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46</v>
      </c>
      <c r="B2" s="3">
        <v>45680</v>
      </c>
      <c r="C2">
        <v>108.8</v>
      </c>
      <c r="D2">
        <v>111.36</v>
      </c>
      <c r="E2">
        <v>108.69</v>
      </c>
      <c r="F2">
        <v>109.55</v>
      </c>
      <c r="G2">
        <v>108.32</v>
      </c>
      <c r="H2">
        <v>1.23</v>
      </c>
      <c r="I2">
        <v>1.1355</v>
      </c>
      <c r="J2">
        <v>139355.46</v>
      </c>
      <c r="K2">
        <v>1531137.18</v>
      </c>
      <c r="L2" t="s">
        <v>103</v>
      </c>
      <c r="M2" t="s">
        <v>104</v>
      </c>
      <c r="N2" s="3">
        <v>45770</v>
      </c>
      <c r="O2">
        <v>1</v>
      </c>
      <c r="P2">
        <v>58</v>
      </c>
      <c r="Q2">
        <v>-57</v>
      </c>
      <c r="R2" t="s">
        <v>105</v>
      </c>
    </row>
    <row r="3" spans="1:19">
      <c r="A3" t="s">
        <v>46</v>
      </c>
      <c r="B3" s="3">
        <v>45681</v>
      </c>
      <c r="C3">
        <v>109.31</v>
      </c>
      <c r="D3">
        <v>110.2</v>
      </c>
      <c r="E3">
        <v>108.75</v>
      </c>
      <c r="F3">
        <v>109.02</v>
      </c>
      <c r="G3">
        <v>109.55</v>
      </c>
      <c r="H3">
        <v>-0.53</v>
      </c>
      <c r="I3">
        <v>-0.4838</v>
      </c>
      <c r="J3">
        <v>98781.25</v>
      </c>
      <c r="K3">
        <v>1079500.903</v>
      </c>
      <c r="L3" t="s">
        <v>103</v>
      </c>
      <c r="M3" t="s">
        <v>104</v>
      </c>
      <c r="N3" s="3">
        <v>45770</v>
      </c>
      <c r="O3">
        <v>2</v>
      </c>
      <c r="P3">
        <v>58</v>
      </c>
      <c r="Q3">
        <v>-56</v>
      </c>
      <c r="R3" t="s">
        <v>105</v>
      </c>
    </row>
    <row r="4" spans="1:19">
      <c r="A4" t="s">
        <v>46</v>
      </c>
      <c r="B4" s="3">
        <v>45684</v>
      </c>
      <c r="C4">
        <v>109.05</v>
      </c>
      <c r="D4">
        <v>111.2</v>
      </c>
      <c r="E4">
        <v>108.7</v>
      </c>
      <c r="F4">
        <v>110.97</v>
      </c>
      <c r="G4">
        <v>109.02</v>
      </c>
      <c r="H4">
        <v>1.95</v>
      </c>
      <c r="I4">
        <v>1.7887</v>
      </c>
      <c r="J4">
        <v>140111.37</v>
      </c>
      <c r="K4">
        <v>1543347.167</v>
      </c>
      <c r="L4" t="s">
        <v>103</v>
      </c>
      <c r="M4" t="s">
        <v>104</v>
      </c>
      <c r="N4" s="3">
        <v>45770</v>
      </c>
      <c r="O4">
        <v>3</v>
      </c>
      <c r="P4">
        <v>58</v>
      </c>
      <c r="Q4">
        <v>-55</v>
      </c>
      <c r="R4" t="s">
        <v>105</v>
      </c>
    </row>
    <row r="5" spans="1:19">
      <c r="A5" t="s">
        <v>46</v>
      </c>
      <c r="B5" s="3">
        <v>45693</v>
      </c>
      <c r="C5">
        <v>110.39</v>
      </c>
      <c r="D5">
        <v>110.6</v>
      </c>
      <c r="E5">
        <v>107.91</v>
      </c>
      <c r="F5">
        <v>108.3</v>
      </c>
      <c r="G5">
        <v>110.97</v>
      </c>
      <c r="H5">
        <v>-2.67</v>
      </c>
      <c r="I5">
        <v>-2.4061</v>
      </c>
      <c r="J5">
        <v>135660.88</v>
      </c>
      <c r="K5">
        <v>1470774.112</v>
      </c>
      <c r="L5" t="s">
        <v>103</v>
      </c>
      <c r="M5" t="s">
        <v>104</v>
      </c>
      <c r="N5" s="3">
        <v>45770</v>
      </c>
      <c r="O5">
        <v>4</v>
      </c>
      <c r="P5">
        <v>58</v>
      </c>
      <c r="Q5">
        <v>-54</v>
      </c>
      <c r="R5" t="s">
        <v>105</v>
      </c>
    </row>
    <row r="6" spans="1:19">
      <c r="A6" t="s">
        <v>46</v>
      </c>
      <c r="B6" s="3">
        <v>45694</v>
      </c>
      <c r="C6">
        <v>108.19</v>
      </c>
      <c r="D6">
        <v>108.6</v>
      </c>
      <c r="E6">
        <v>107.76</v>
      </c>
      <c r="F6">
        <v>108.34</v>
      </c>
      <c r="G6">
        <v>108.3</v>
      </c>
      <c r="H6">
        <v>0.04</v>
      </c>
      <c r="I6">
        <v>0.0369</v>
      </c>
      <c r="J6">
        <v>101463.52</v>
      </c>
      <c r="K6">
        <v>1096344.256</v>
      </c>
      <c r="L6" t="s">
        <v>103</v>
      </c>
      <c r="M6" t="s">
        <v>104</v>
      </c>
      <c r="N6" s="3">
        <v>45770</v>
      </c>
      <c r="O6">
        <v>5</v>
      </c>
      <c r="P6">
        <v>58</v>
      </c>
      <c r="Q6">
        <v>-53</v>
      </c>
      <c r="R6" t="s">
        <v>105</v>
      </c>
    </row>
    <row r="7" spans="1:19">
      <c r="A7" t="s">
        <v>46</v>
      </c>
      <c r="B7" s="3">
        <v>45695</v>
      </c>
      <c r="C7">
        <v>108.01</v>
      </c>
      <c r="D7">
        <v>108.68</v>
      </c>
      <c r="E7">
        <v>107.01</v>
      </c>
      <c r="F7">
        <v>108.14</v>
      </c>
      <c r="G7">
        <v>108.34</v>
      </c>
      <c r="H7">
        <v>-0.2</v>
      </c>
      <c r="I7">
        <v>-0.1846</v>
      </c>
      <c r="J7">
        <v>189448.52</v>
      </c>
      <c r="K7">
        <v>2038503.336</v>
      </c>
      <c r="L7" t="s">
        <v>103</v>
      </c>
      <c r="M7" t="s">
        <v>104</v>
      </c>
      <c r="N7" s="3">
        <v>45770</v>
      </c>
      <c r="O7">
        <v>6</v>
      </c>
      <c r="P7">
        <v>58</v>
      </c>
      <c r="Q7">
        <v>-52</v>
      </c>
      <c r="R7" t="s">
        <v>105</v>
      </c>
    </row>
    <row r="8" spans="1:19">
      <c r="A8" t="s">
        <v>46</v>
      </c>
      <c r="B8" s="3">
        <v>45698</v>
      </c>
      <c r="C8">
        <v>108.91</v>
      </c>
      <c r="D8">
        <v>113.7</v>
      </c>
      <c r="E8">
        <v>108.69</v>
      </c>
      <c r="F8">
        <v>110</v>
      </c>
      <c r="G8">
        <v>108.14</v>
      </c>
      <c r="H8">
        <v>1.86</v>
      </c>
      <c r="I8">
        <v>1.72</v>
      </c>
      <c r="J8">
        <v>345047.17</v>
      </c>
      <c r="K8">
        <v>3817918.417</v>
      </c>
      <c r="L8" t="s">
        <v>103</v>
      </c>
      <c r="M8" t="s">
        <v>104</v>
      </c>
      <c r="N8" s="3">
        <v>45770</v>
      </c>
      <c r="O8">
        <v>7</v>
      </c>
      <c r="P8">
        <v>58</v>
      </c>
      <c r="Q8">
        <v>-51</v>
      </c>
      <c r="R8" t="s">
        <v>105</v>
      </c>
    </row>
    <row r="9" spans="1:19">
      <c r="A9" t="s">
        <v>46</v>
      </c>
      <c r="B9" s="3">
        <v>45699</v>
      </c>
      <c r="C9">
        <v>109.77</v>
      </c>
      <c r="D9">
        <v>111.67</v>
      </c>
      <c r="E9">
        <v>109</v>
      </c>
      <c r="F9">
        <v>109.79</v>
      </c>
      <c r="G9">
        <v>110</v>
      </c>
      <c r="H9">
        <v>-0.21</v>
      </c>
      <c r="I9">
        <v>-0.1909</v>
      </c>
      <c r="J9">
        <v>178388.33</v>
      </c>
      <c r="K9">
        <v>1968890.625</v>
      </c>
      <c r="L9" t="s">
        <v>103</v>
      </c>
      <c r="M9" t="s">
        <v>104</v>
      </c>
      <c r="N9" s="3">
        <v>45770</v>
      </c>
      <c r="O9">
        <v>8</v>
      </c>
      <c r="P9">
        <v>58</v>
      </c>
      <c r="Q9">
        <v>-50</v>
      </c>
      <c r="R9" t="s">
        <v>105</v>
      </c>
    </row>
    <row r="10" spans="1:19">
      <c r="A10" t="s">
        <v>46</v>
      </c>
      <c r="B10" s="3">
        <v>45700</v>
      </c>
      <c r="C10">
        <v>109.54</v>
      </c>
      <c r="D10">
        <v>111.2</v>
      </c>
      <c r="E10">
        <v>109.25</v>
      </c>
      <c r="F10">
        <v>110.72</v>
      </c>
      <c r="G10">
        <v>109.79</v>
      </c>
      <c r="H10">
        <v>0.93</v>
      </c>
      <c r="I10">
        <v>0.8471</v>
      </c>
      <c r="J10">
        <v>153941.18</v>
      </c>
      <c r="K10">
        <v>1703081.999</v>
      </c>
      <c r="L10" t="s">
        <v>103</v>
      </c>
      <c r="M10" t="s">
        <v>104</v>
      </c>
      <c r="N10" s="3">
        <v>45770</v>
      </c>
      <c r="O10">
        <v>9</v>
      </c>
      <c r="P10">
        <v>58</v>
      </c>
      <c r="Q10">
        <v>-49</v>
      </c>
      <c r="R10" t="s">
        <v>105</v>
      </c>
    </row>
    <row r="11" spans="1:19">
      <c r="A11" t="s">
        <v>46</v>
      </c>
      <c r="B11" s="3">
        <v>45701</v>
      </c>
      <c r="C11">
        <v>110.72</v>
      </c>
      <c r="D11">
        <v>112.05</v>
      </c>
      <c r="E11">
        <v>110.13</v>
      </c>
      <c r="F11">
        <v>110.61</v>
      </c>
      <c r="G11">
        <v>110.72</v>
      </c>
      <c r="H11">
        <v>-0.11</v>
      </c>
      <c r="I11">
        <v>-0.0993</v>
      </c>
      <c r="J11">
        <v>161946.51</v>
      </c>
      <c r="K11">
        <v>1800781.463</v>
      </c>
      <c r="L11" t="s">
        <v>103</v>
      </c>
      <c r="M11" t="s">
        <v>104</v>
      </c>
      <c r="N11" s="3">
        <v>45770</v>
      </c>
      <c r="O11">
        <v>10</v>
      </c>
      <c r="P11">
        <v>58</v>
      </c>
      <c r="Q11">
        <v>-48</v>
      </c>
      <c r="R11" t="s">
        <v>105</v>
      </c>
    </row>
    <row r="12" spans="1:19">
      <c r="A12" t="s">
        <v>46</v>
      </c>
      <c r="B12" s="3">
        <v>45702</v>
      </c>
      <c r="C12">
        <v>110.49</v>
      </c>
      <c r="D12">
        <v>112.94</v>
      </c>
      <c r="E12">
        <v>109.71</v>
      </c>
      <c r="F12">
        <v>112.65</v>
      </c>
      <c r="G12">
        <v>110.61</v>
      </c>
      <c r="H12">
        <v>2.04</v>
      </c>
      <c r="I12">
        <v>1.8443</v>
      </c>
      <c r="J12">
        <v>227477.72</v>
      </c>
      <c r="K12">
        <v>2539385.379</v>
      </c>
      <c r="L12" t="s">
        <v>103</v>
      </c>
      <c r="M12" t="s">
        <v>104</v>
      </c>
      <c r="N12" s="3">
        <v>45770</v>
      </c>
      <c r="O12">
        <v>11</v>
      </c>
      <c r="P12">
        <v>58</v>
      </c>
      <c r="Q12">
        <v>-47</v>
      </c>
      <c r="R12" t="s">
        <v>105</v>
      </c>
    </row>
    <row r="13" spans="1:19">
      <c r="A13" t="s">
        <v>46</v>
      </c>
      <c r="B13" s="3">
        <v>45705</v>
      </c>
      <c r="C13">
        <v>113.27</v>
      </c>
      <c r="D13">
        <v>115.13</v>
      </c>
      <c r="E13">
        <v>112.11</v>
      </c>
      <c r="F13">
        <v>113.21</v>
      </c>
      <c r="G13">
        <v>112.65</v>
      </c>
      <c r="H13">
        <v>0.56</v>
      </c>
      <c r="I13">
        <v>0.4971</v>
      </c>
      <c r="J13">
        <v>259808.5</v>
      </c>
      <c r="K13">
        <v>2949108.341</v>
      </c>
      <c r="L13" t="s">
        <v>103</v>
      </c>
      <c r="M13" t="s">
        <v>104</v>
      </c>
      <c r="N13" s="3">
        <v>45770</v>
      </c>
      <c r="O13">
        <v>12</v>
      </c>
      <c r="P13">
        <v>58</v>
      </c>
      <c r="Q13">
        <v>-46</v>
      </c>
      <c r="R13" t="s">
        <v>105</v>
      </c>
    </row>
    <row r="14" spans="1:19">
      <c r="A14" t="s">
        <v>46</v>
      </c>
      <c r="B14" s="3">
        <v>45706</v>
      </c>
      <c r="C14">
        <v>113.11</v>
      </c>
      <c r="D14">
        <v>114.24</v>
      </c>
      <c r="E14">
        <v>111.5</v>
      </c>
      <c r="F14">
        <v>111.99</v>
      </c>
      <c r="G14">
        <v>113.21</v>
      </c>
      <c r="H14">
        <v>-1.22</v>
      </c>
      <c r="I14">
        <v>-1.0776</v>
      </c>
      <c r="J14">
        <v>159497.94</v>
      </c>
      <c r="K14">
        <v>1799289.206</v>
      </c>
      <c r="L14" t="s">
        <v>103</v>
      </c>
      <c r="M14" t="s">
        <v>104</v>
      </c>
      <c r="N14" s="3">
        <v>45770</v>
      </c>
      <c r="O14">
        <v>13</v>
      </c>
      <c r="P14">
        <v>58</v>
      </c>
      <c r="Q14">
        <v>-45</v>
      </c>
      <c r="R14" t="s">
        <v>105</v>
      </c>
    </row>
    <row r="15" spans="1:19">
      <c r="A15" t="s">
        <v>46</v>
      </c>
      <c r="B15" s="3">
        <v>45707</v>
      </c>
      <c r="C15">
        <v>111.9</v>
      </c>
      <c r="D15">
        <v>113.25</v>
      </c>
      <c r="E15">
        <v>111.58</v>
      </c>
      <c r="F15">
        <v>112</v>
      </c>
      <c r="G15">
        <v>111.99</v>
      </c>
      <c r="H15">
        <v>0.01</v>
      </c>
      <c r="I15">
        <v>0.0089</v>
      </c>
      <c r="J15">
        <v>143008.99</v>
      </c>
      <c r="K15">
        <v>1604508</v>
      </c>
      <c r="L15" t="s">
        <v>103</v>
      </c>
      <c r="M15" t="s">
        <v>104</v>
      </c>
      <c r="N15" s="3">
        <v>45770</v>
      </c>
      <c r="O15">
        <v>14</v>
      </c>
      <c r="P15">
        <v>58</v>
      </c>
      <c r="Q15">
        <v>-44</v>
      </c>
      <c r="R15" t="s">
        <v>105</v>
      </c>
    </row>
    <row r="16" spans="1:19">
      <c r="A16" t="s">
        <v>46</v>
      </c>
      <c r="B16" s="3">
        <v>45708</v>
      </c>
      <c r="C16">
        <v>111.58</v>
      </c>
      <c r="D16">
        <v>111.58</v>
      </c>
      <c r="E16">
        <v>109.82</v>
      </c>
      <c r="F16">
        <v>110.37</v>
      </c>
      <c r="G16">
        <v>112</v>
      </c>
      <c r="H16">
        <v>-1.63</v>
      </c>
      <c r="I16">
        <v>-1.4554</v>
      </c>
      <c r="J16">
        <v>149501.95</v>
      </c>
      <c r="K16">
        <v>1648355.594</v>
      </c>
      <c r="L16" t="s">
        <v>103</v>
      </c>
      <c r="M16" t="s">
        <v>104</v>
      </c>
      <c r="N16" s="3">
        <v>45770</v>
      </c>
      <c r="O16">
        <v>15</v>
      </c>
      <c r="P16">
        <v>58</v>
      </c>
      <c r="Q16">
        <v>-43</v>
      </c>
      <c r="R16" t="s">
        <v>105</v>
      </c>
    </row>
    <row r="17" spans="1:18">
      <c r="A17" t="s">
        <v>46</v>
      </c>
      <c r="B17" s="3">
        <v>45709</v>
      </c>
      <c r="C17">
        <v>110.5</v>
      </c>
      <c r="D17">
        <v>116.1</v>
      </c>
      <c r="E17">
        <v>110.45</v>
      </c>
      <c r="F17">
        <v>114.5</v>
      </c>
      <c r="G17">
        <v>110.37</v>
      </c>
      <c r="H17">
        <v>4.13</v>
      </c>
      <c r="I17">
        <v>3.742</v>
      </c>
      <c r="J17">
        <v>351662.61</v>
      </c>
      <c r="K17">
        <v>3992910.6</v>
      </c>
      <c r="L17" t="s">
        <v>103</v>
      </c>
      <c r="M17" t="s">
        <v>104</v>
      </c>
      <c r="N17" s="3">
        <v>45770</v>
      </c>
      <c r="O17">
        <v>16</v>
      </c>
      <c r="P17">
        <v>58</v>
      </c>
      <c r="Q17">
        <v>-42</v>
      </c>
      <c r="R17" t="s">
        <v>105</v>
      </c>
    </row>
    <row r="18" spans="1:18">
      <c r="A18" t="s">
        <v>46</v>
      </c>
      <c r="B18" s="3">
        <v>45712</v>
      </c>
      <c r="C18">
        <v>114.5</v>
      </c>
      <c r="D18">
        <v>114.55</v>
      </c>
      <c r="E18">
        <v>111.06</v>
      </c>
      <c r="F18">
        <v>111.47</v>
      </c>
      <c r="G18">
        <v>114.5</v>
      </c>
      <c r="H18">
        <v>-3.03</v>
      </c>
      <c r="I18">
        <v>-2.6463</v>
      </c>
      <c r="J18">
        <v>230523.47</v>
      </c>
      <c r="K18">
        <v>2589269.4</v>
      </c>
      <c r="L18" t="s">
        <v>103</v>
      </c>
      <c r="M18" t="s">
        <v>104</v>
      </c>
      <c r="N18" s="3">
        <v>45770</v>
      </c>
      <c r="O18">
        <v>17</v>
      </c>
      <c r="P18">
        <v>58</v>
      </c>
      <c r="Q18">
        <v>-41</v>
      </c>
      <c r="R18" t="s">
        <v>105</v>
      </c>
    </row>
    <row r="19" spans="1:18">
      <c r="A19" t="s">
        <v>46</v>
      </c>
      <c r="B19" s="3">
        <v>45713</v>
      </c>
      <c r="C19">
        <v>110</v>
      </c>
      <c r="D19">
        <v>110.49</v>
      </c>
      <c r="E19">
        <v>108.36</v>
      </c>
      <c r="F19">
        <v>108.8</v>
      </c>
      <c r="G19">
        <v>111.47</v>
      </c>
      <c r="H19">
        <v>-2.67</v>
      </c>
      <c r="I19">
        <v>-2.3953</v>
      </c>
      <c r="J19">
        <v>205417.59</v>
      </c>
      <c r="K19">
        <v>2244863.99</v>
      </c>
      <c r="L19" t="s">
        <v>103</v>
      </c>
      <c r="M19" t="s">
        <v>104</v>
      </c>
      <c r="N19" s="3">
        <v>45770</v>
      </c>
      <c r="O19">
        <v>18</v>
      </c>
      <c r="P19">
        <v>58</v>
      </c>
      <c r="Q19">
        <v>-40</v>
      </c>
      <c r="R19" t="s">
        <v>105</v>
      </c>
    </row>
    <row r="20" spans="1:18">
      <c r="A20" t="s">
        <v>46</v>
      </c>
      <c r="B20" s="3">
        <v>45714</v>
      </c>
      <c r="C20">
        <v>109.49</v>
      </c>
      <c r="D20">
        <v>109.81</v>
      </c>
      <c r="E20">
        <v>107.16</v>
      </c>
      <c r="F20">
        <v>107.7</v>
      </c>
      <c r="G20">
        <v>108.8</v>
      </c>
      <c r="H20">
        <v>-1.1</v>
      </c>
      <c r="I20">
        <v>-1.011</v>
      </c>
      <c r="J20">
        <v>210463.46</v>
      </c>
      <c r="K20">
        <v>2270236.007</v>
      </c>
      <c r="L20" t="s">
        <v>103</v>
      </c>
      <c r="M20" t="s">
        <v>104</v>
      </c>
      <c r="N20" s="3">
        <v>45770</v>
      </c>
      <c r="O20">
        <v>19</v>
      </c>
      <c r="P20">
        <v>58</v>
      </c>
      <c r="Q20">
        <v>-39</v>
      </c>
      <c r="R20" t="s">
        <v>105</v>
      </c>
    </row>
    <row r="21" spans="1:18">
      <c r="A21" t="s">
        <v>46</v>
      </c>
      <c r="B21" s="3">
        <v>45715</v>
      </c>
      <c r="C21">
        <v>107.5</v>
      </c>
      <c r="D21">
        <v>107.61</v>
      </c>
      <c r="E21">
        <v>106.56</v>
      </c>
      <c r="F21">
        <v>107</v>
      </c>
      <c r="G21">
        <v>107.7</v>
      </c>
      <c r="H21">
        <v>-0.7</v>
      </c>
      <c r="I21">
        <v>-0.65</v>
      </c>
      <c r="J21">
        <v>168360.94</v>
      </c>
      <c r="K21">
        <v>1801825.154</v>
      </c>
      <c r="L21" t="s">
        <v>103</v>
      </c>
      <c r="M21" t="s">
        <v>104</v>
      </c>
      <c r="N21" s="3">
        <v>45770</v>
      </c>
      <c r="O21">
        <v>20</v>
      </c>
      <c r="P21">
        <v>58</v>
      </c>
      <c r="Q21">
        <v>-38</v>
      </c>
      <c r="R21" t="s">
        <v>105</v>
      </c>
    </row>
    <row r="22" spans="1:18">
      <c r="A22" t="s">
        <v>46</v>
      </c>
      <c r="B22" s="3">
        <v>45716</v>
      </c>
      <c r="C22">
        <v>106.68</v>
      </c>
      <c r="D22">
        <v>107.72</v>
      </c>
      <c r="E22">
        <v>106.68</v>
      </c>
      <c r="F22">
        <v>106.92</v>
      </c>
      <c r="G22">
        <v>107</v>
      </c>
      <c r="H22">
        <v>-0.08</v>
      </c>
      <c r="I22">
        <v>-0.0748</v>
      </c>
      <c r="J22">
        <v>141950.15</v>
      </c>
      <c r="K22">
        <v>1520761.127</v>
      </c>
      <c r="L22" t="s">
        <v>103</v>
      </c>
      <c r="M22" t="s">
        <v>104</v>
      </c>
      <c r="N22" s="3">
        <v>45770</v>
      </c>
      <c r="O22">
        <v>21</v>
      </c>
      <c r="P22">
        <v>58</v>
      </c>
      <c r="Q22">
        <v>-37</v>
      </c>
      <c r="R22" t="s">
        <v>105</v>
      </c>
    </row>
    <row r="23" spans="1:18">
      <c r="A23" t="s">
        <v>46</v>
      </c>
      <c r="B23" s="3">
        <v>45719</v>
      </c>
      <c r="C23">
        <v>106.93</v>
      </c>
      <c r="D23">
        <v>107.32</v>
      </c>
      <c r="E23">
        <v>105.8</v>
      </c>
      <c r="F23">
        <v>106.23</v>
      </c>
      <c r="G23">
        <v>106.92</v>
      </c>
      <c r="H23">
        <v>-0.69</v>
      </c>
      <c r="I23">
        <v>-0.6453</v>
      </c>
      <c r="J23">
        <v>153296.93</v>
      </c>
      <c r="K23">
        <v>1635395.453</v>
      </c>
      <c r="L23" t="s">
        <v>103</v>
      </c>
      <c r="M23" t="s">
        <v>104</v>
      </c>
      <c r="N23" s="3">
        <v>45770</v>
      </c>
      <c r="O23">
        <v>22</v>
      </c>
      <c r="P23">
        <v>58</v>
      </c>
      <c r="Q23">
        <v>-36</v>
      </c>
      <c r="R23" t="s">
        <v>105</v>
      </c>
    </row>
    <row r="24" spans="1:18">
      <c r="A24" t="s">
        <v>46</v>
      </c>
      <c r="B24" s="3">
        <v>45720</v>
      </c>
      <c r="C24">
        <v>105.77</v>
      </c>
      <c r="D24">
        <v>107</v>
      </c>
      <c r="E24">
        <v>105.72</v>
      </c>
      <c r="F24">
        <v>106.8</v>
      </c>
      <c r="G24">
        <v>106.23</v>
      </c>
      <c r="H24">
        <v>0.57</v>
      </c>
      <c r="I24">
        <v>0.5366</v>
      </c>
      <c r="J24">
        <v>99563.32</v>
      </c>
      <c r="K24">
        <v>1060391.104</v>
      </c>
      <c r="L24" t="s">
        <v>103</v>
      </c>
      <c r="M24" t="s">
        <v>104</v>
      </c>
      <c r="N24" s="3">
        <v>45770</v>
      </c>
      <c r="O24">
        <v>23</v>
      </c>
      <c r="P24">
        <v>58</v>
      </c>
      <c r="Q24">
        <v>-35</v>
      </c>
      <c r="R24" t="s">
        <v>105</v>
      </c>
    </row>
    <row r="25" spans="1:18">
      <c r="A25" t="s">
        <v>46</v>
      </c>
      <c r="B25" s="3">
        <v>45721</v>
      </c>
      <c r="C25">
        <v>106.66</v>
      </c>
      <c r="D25">
        <v>108.81</v>
      </c>
      <c r="E25">
        <v>106.38</v>
      </c>
      <c r="F25">
        <v>108.38</v>
      </c>
      <c r="G25">
        <v>106.8</v>
      </c>
      <c r="H25">
        <v>1.58</v>
      </c>
      <c r="I25">
        <v>1.4794</v>
      </c>
      <c r="J25">
        <v>165409.92</v>
      </c>
      <c r="K25">
        <v>1786977.154</v>
      </c>
      <c r="L25" t="s">
        <v>103</v>
      </c>
      <c r="M25" t="s">
        <v>104</v>
      </c>
      <c r="N25" s="3">
        <v>45770</v>
      </c>
      <c r="O25">
        <v>24</v>
      </c>
      <c r="P25">
        <v>58</v>
      </c>
      <c r="Q25">
        <v>-34</v>
      </c>
      <c r="R25" t="s">
        <v>105</v>
      </c>
    </row>
    <row r="26" spans="1:18">
      <c r="A26" t="s">
        <v>46</v>
      </c>
      <c r="B26" s="3">
        <v>45722</v>
      </c>
      <c r="C26">
        <v>108.3</v>
      </c>
      <c r="D26">
        <v>108.49</v>
      </c>
      <c r="E26">
        <v>107.22</v>
      </c>
      <c r="F26">
        <v>107.97</v>
      </c>
      <c r="G26">
        <v>108.38</v>
      </c>
      <c r="H26">
        <v>-0.41</v>
      </c>
      <c r="I26">
        <v>-0.3783</v>
      </c>
      <c r="J26">
        <v>175939.32</v>
      </c>
      <c r="K26">
        <v>1896917.823</v>
      </c>
      <c r="L26" t="s">
        <v>103</v>
      </c>
      <c r="M26" t="s">
        <v>104</v>
      </c>
      <c r="N26" s="3">
        <v>45770</v>
      </c>
      <c r="O26">
        <v>25</v>
      </c>
      <c r="P26">
        <v>58</v>
      </c>
      <c r="Q26">
        <v>-33</v>
      </c>
      <c r="R26" t="s">
        <v>105</v>
      </c>
    </row>
    <row r="27" spans="1:18">
      <c r="A27" t="s">
        <v>46</v>
      </c>
      <c r="B27" s="3">
        <v>45723</v>
      </c>
      <c r="C27">
        <v>107.9</v>
      </c>
      <c r="D27">
        <v>108.59</v>
      </c>
      <c r="E27">
        <v>107.13</v>
      </c>
      <c r="F27">
        <v>108.59</v>
      </c>
      <c r="G27">
        <v>107.97</v>
      </c>
      <c r="H27">
        <v>0.62</v>
      </c>
      <c r="I27">
        <v>0.5742</v>
      </c>
      <c r="J27">
        <v>141090.23</v>
      </c>
      <c r="K27">
        <v>1519993.057</v>
      </c>
      <c r="L27" t="s">
        <v>103</v>
      </c>
      <c r="M27" t="s">
        <v>104</v>
      </c>
      <c r="N27" s="3">
        <v>45770</v>
      </c>
      <c r="O27">
        <v>26</v>
      </c>
      <c r="P27">
        <v>58</v>
      </c>
      <c r="Q27">
        <v>-32</v>
      </c>
      <c r="R27" t="s">
        <v>105</v>
      </c>
    </row>
    <row r="28" spans="1:18">
      <c r="A28" t="s">
        <v>46</v>
      </c>
      <c r="B28" s="3">
        <v>45726</v>
      </c>
      <c r="C28">
        <v>108.48</v>
      </c>
      <c r="D28">
        <v>108.48</v>
      </c>
      <c r="E28">
        <v>106.4</v>
      </c>
      <c r="F28">
        <v>106.64</v>
      </c>
      <c r="G28">
        <v>108.59</v>
      </c>
      <c r="H28">
        <v>-1.95</v>
      </c>
      <c r="I28">
        <v>-1.7957</v>
      </c>
      <c r="J28">
        <v>135920.88</v>
      </c>
      <c r="K28">
        <v>1453249.684</v>
      </c>
      <c r="L28" t="s">
        <v>103</v>
      </c>
      <c r="M28" t="s">
        <v>104</v>
      </c>
      <c r="N28" s="3">
        <v>45770</v>
      </c>
      <c r="O28">
        <v>27</v>
      </c>
      <c r="P28">
        <v>58</v>
      </c>
      <c r="Q28">
        <v>-31</v>
      </c>
      <c r="R28" t="s">
        <v>105</v>
      </c>
    </row>
    <row r="29" spans="1:18">
      <c r="A29" t="s">
        <v>46</v>
      </c>
      <c r="B29" s="3">
        <v>45727</v>
      </c>
      <c r="C29">
        <v>106.04</v>
      </c>
      <c r="D29">
        <v>107.71</v>
      </c>
      <c r="E29">
        <v>106.03</v>
      </c>
      <c r="F29">
        <v>107.22</v>
      </c>
      <c r="G29">
        <v>106.64</v>
      </c>
      <c r="H29">
        <v>0.58</v>
      </c>
      <c r="I29">
        <v>0.5439</v>
      </c>
      <c r="J29">
        <v>102453.64</v>
      </c>
      <c r="K29">
        <v>1092656.736</v>
      </c>
      <c r="L29" t="s">
        <v>103</v>
      </c>
      <c r="M29" t="s">
        <v>104</v>
      </c>
      <c r="N29" s="3">
        <v>45770</v>
      </c>
      <c r="O29">
        <v>28</v>
      </c>
      <c r="P29">
        <v>58</v>
      </c>
      <c r="Q29">
        <v>-30</v>
      </c>
      <c r="R29" t="s">
        <v>105</v>
      </c>
    </row>
    <row r="30" spans="1:18">
      <c r="A30" t="s">
        <v>46</v>
      </c>
      <c r="B30" s="3">
        <v>45728</v>
      </c>
      <c r="C30">
        <v>107</v>
      </c>
      <c r="D30">
        <v>107</v>
      </c>
      <c r="E30">
        <v>105.29</v>
      </c>
      <c r="F30">
        <v>105.66</v>
      </c>
      <c r="G30">
        <v>107.22</v>
      </c>
      <c r="H30">
        <v>-1.56</v>
      </c>
      <c r="I30">
        <v>-1.455</v>
      </c>
      <c r="J30">
        <v>200843.45</v>
      </c>
      <c r="K30">
        <v>2124946.027</v>
      </c>
      <c r="L30" t="s">
        <v>103</v>
      </c>
      <c r="M30" t="s">
        <v>104</v>
      </c>
      <c r="N30" s="3">
        <v>45770</v>
      </c>
      <c r="O30">
        <v>29</v>
      </c>
      <c r="P30">
        <v>58</v>
      </c>
      <c r="Q30">
        <v>-29</v>
      </c>
      <c r="R30" t="s">
        <v>105</v>
      </c>
    </row>
    <row r="31" spans="1:18">
      <c r="A31" t="s">
        <v>46</v>
      </c>
      <c r="B31" s="3">
        <v>45729</v>
      </c>
      <c r="C31">
        <v>105.67</v>
      </c>
      <c r="D31">
        <v>106.24</v>
      </c>
      <c r="E31">
        <v>105.4</v>
      </c>
      <c r="F31">
        <v>105.79</v>
      </c>
      <c r="G31">
        <v>105.66</v>
      </c>
      <c r="H31">
        <v>0.13</v>
      </c>
      <c r="I31">
        <v>0.123</v>
      </c>
      <c r="J31">
        <v>110753.64</v>
      </c>
      <c r="K31">
        <v>1172695.313</v>
      </c>
      <c r="L31" t="s">
        <v>103</v>
      </c>
      <c r="M31" t="s">
        <v>104</v>
      </c>
      <c r="N31" s="3">
        <v>45770</v>
      </c>
      <c r="O31">
        <v>30</v>
      </c>
      <c r="P31">
        <v>58</v>
      </c>
      <c r="Q31">
        <v>-28</v>
      </c>
      <c r="R31" t="s">
        <v>105</v>
      </c>
    </row>
    <row r="32" spans="1:18">
      <c r="A32" t="s">
        <v>46</v>
      </c>
      <c r="B32" s="3">
        <v>45730</v>
      </c>
      <c r="C32">
        <v>105.82</v>
      </c>
      <c r="D32">
        <v>107</v>
      </c>
      <c r="E32">
        <v>105.82</v>
      </c>
      <c r="F32">
        <v>106.51</v>
      </c>
      <c r="G32">
        <v>105.79</v>
      </c>
      <c r="H32">
        <v>0.72</v>
      </c>
      <c r="I32">
        <v>0.6806</v>
      </c>
      <c r="J32">
        <v>155647.86</v>
      </c>
      <c r="K32">
        <v>1660001.483</v>
      </c>
      <c r="L32" t="s">
        <v>103</v>
      </c>
      <c r="M32" t="s">
        <v>104</v>
      </c>
      <c r="N32" s="3">
        <v>45770</v>
      </c>
      <c r="O32">
        <v>31</v>
      </c>
      <c r="P32">
        <v>58</v>
      </c>
      <c r="Q32">
        <v>-27</v>
      </c>
      <c r="R32" t="s">
        <v>105</v>
      </c>
    </row>
    <row r="33" spans="1:18">
      <c r="A33" t="s">
        <v>46</v>
      </c>
      <c r="B33" s="3">
        <v>45733</v>
      </c>
      <c r="C33">
        <v>106.55</v>
      </c>
      <c r="D33">
        <v>106.66</v>
      </c>
      <c r="E33">
        <v>105.81</v>
      </c>
      <c r="F33">
        <v>105.99</v>
      </c>
      <c r="G33">
        <v>106.51</v>
      </c>
      <c r="H33">
        <v>-0.52</v>
      </c>
      <c r="I33">
        <v>-0.4882</v>
      </c>
      <c r="J33">
        <v>128748.01</v>
      </c>
      <c r="K33">
        <v>1364757.123</v>
      </c>
      <c r="L33" t="s">
        <v>103</v>
      </c>
      <c r="M33" t="s">
        <v>104</v>
      </c>
      <c r="N33" s="3">
        <v>45770</v>
      </c>
      <c r="O33">
        <v>32</v>
      </c>
      <c r="P33">
        <v>58</v>
      </c>
      <c r="Q33">
        <v>-26</v>
      </c>
      <c r="R33" t="s">
        <v>105</v>
      </c>
    </row>
    <row r="34" spans="1:18">
      <c r="A34" t="s">
        <v>46</v>
      </c>
      <c r="B34" s="3">
        <v>45734</v>
      </c>
      <c r="C34">
        <v>106.09</v>
      </c>
      <c r="D34">
        <v>106.45</v>
      </c>
      <c r="E34">
        <v>105.71</v>
      </c>
      <c r="F34">
        <v>105.92</v>
      </c>
      <c r="G34">
        <v>105.99</v>
      </c>
      <c r="H34">
        <v>-0.07</v>
      </c>
      <c r="I34">
        <v>-0.066</v>
      </c>
      <c r="J34">
        <v>107023.26</v>
      </c>
      <c r="K34">
        <v>1134479.785</v>
      </c>
      <c r="L34" t="s">
        <v>103</v>
      </c>
      <c r="M34" t="s">
        <v>104</v>
      </c>
      <c r="N34" s="3">
        <v>45770</v>
      </c>
      <c r="O34">
        <v>33</v>
      </c>
      <c r="P34">
        <v>58</v>
      </c>
      <c r="Q34">
        <v>-25</v>
      </c>
      <c r="R34" t="s">
        <v>105</v>
      </c>
    </row>
    <row r="35" spans="1:18">
      <c r="A35" t="s">
        <v>46</v>
      </c>
      <c r="B35" s="3">
        <v>45735</v>
      </c>
      <c r="C35">
        <v>106</v>
      </c>
      <c r="D35">
        <v>106.07</v>
      </c>
      <c r="E35">
        <v>105.33</v>
      </c>
      <c r="F35">
        <v>105.81</v>
      </c>
      <c r="G35">
        <v>105.92</v>
      </c>
      <c r="H35">
        <v>-0.11</v>
      </c>
      <c r="I35">
        <v>-0.1039</v>
      </c>
      <c r="J35">
        <v>94999.84</v>
      </c>
      <c r="K35">
        <v>1004236.29</v>
      </c>
      <c r="L35" t="s">
        <v>103</v>
      </c>
      <c r="M35" t="s">
        <v>104</v>
      </c>
      <c r="N35" s="3">
        <v>45770</v>
      </c>
      <c r="O35">
        <v>34</v>
      </c>
      <c r="P35">
        <v>58</v>
      </c>
      <c r="Q35">
        <v>-24</v>
      </c>
      <c r="R35" t="s">
        <v>105</v>
      </c>
    </row>
    <row r="36" spans="1:18">
      <c r="A36" t="s">
        <v>46</v>
      </c>
      <c r="B36" s="3">
        <v>45736</v>
      </c>
      <c r="C36">
        <v>105.8</v>
      </c>
      <c r="D36">
        <v>105.88</v>
      </c>
      <c r="E36">
        <v>104.6</v>
      </c>
      <c r="F36">
        <v>105</v>
      </c>
      <c r="G36">
        <v>105.81</v>
      </c>
      <c r="H36">
        <v>-0.81</v>
      </c>
      <c r="I36">
        <v>-0.7655</v>
      </c>
      <c r="J36">
        <v>177384.32</v>
      </c>
      <c r="K36">
        <v>1864601.786</v>
      </c>
      <c r="L36" t="s">
        <v>103</v>
      </c>
      <c r="M36" t="s">
        <v>104</v>
      </c>
      <c r="N36" s="3">
        <v>45770</v>
      </c>
      <c r="O36">
        <v>35</v>
      </c>
      <c r="P36">
        <v>58</v>
      </c>
      <c r="Q36">
        <v>-23</v>
      </c>
      <c r="R36" t="s">
        <v>105</v>
      </c>
    </row>
    <row r="37" spans="1:18">
      <c r="A37" t="s">
        <v>46</v>
      </c>
      <c r="B37" s="3">
        <v>45737</v>
      </c>
      <c r="C37">
        <v>105.1</v>
      </c>
      <c r="D37">
        <v>108.18</v>
      </c>
      <c r="E37">
        <v>105.1</v>
      </c>
      <c r="F37">
        <v>106.65</v>
      </c>
      <c r="G37">
        <v>105</v>
      </c>
      <c r="H37">
        <v>1.65</v>
      </c>
      <c r="I37">
        <v>1.5714</v>
      </c>
      <c r="J37">
        <v>354594.9</v>
      </c>
      <c r="K37">
        <v>3798320.242</v>
      </c>
      <c r="L37" t="s">
        <v>103</v>
      </c>
      <c r="M37" t="s">
        <v>104</v>
      </c>
      <c r="N37" s="3">
        <v>45770</v>
      </c>
      <c r="O37">
        <v>36</v>
      </c>
      <c r="P37">
        <v>58</v>
      </c>
      <c r="Q37">
        <v>-22</v>
      </c>
      <c r="R37" t="s">
        <v>105</v>
      </c>
    </row>
    <row r="38" spans="1:18">
      <c r="A38" t="s">
        <v>46</v>
      </c>
      <c r="B38" s="3">
        <v>45740</v>
      </c>
      <c r="C38">
        <v>106.65</v>
      </c>
      <c r="D38">
        <v>107.1</v>
      </c>
      <c r="E38">
        <v>105.39</v>
      </c>
      <c r="F38">
        <v>105.7</v>
      </c>
      <c r="G38">
        <v>106.65</v>
      </c>
      <c r="H38">
        <v>-0.95</v>
      </c>
      <c r="I38">
        <v>-0.8908</v>
      </c>
      <c r="J38">
        <v>188131.04</v>
      </c>
      <c r="K38">
        <v>1999239.001</v>
      </c>
      <c r="L38" t="s">
        <v>103</v>
      </c>
      <c r="M38" t="s">
        <v>104</v>
      </c>
      <c r="N38" s="3">
        <v>45770</v>
      </c>
      <c r="O38">
        <v>37</v>
      </c>
      <c r="P38">
        <v>58</v>
      </c>
      <c r="Q38">
        <v>-21</v>
      </c>
      <c r="R38" t="s">
        <v>105</v>
      </c>
    </row>
    <row r="39" spans="1:18">
      <c r="A39" t="s">
        <v>46</v>
      </c>
      <c r="B39" s="3">
        <v>45741</v>
      </c>
      <c r="C39">
        <v>105.88</v>
      </c>
      <c r="D39">
        <v>106.27</v>
      </c>
      <c r="E39">
        <v>105.39</v>
      </c>
      <c r="F39">
        <v>105.9</v>
      </c>
      <c r="G39">
        <v>105.7</v>
      </c>
      <c r="H39">
        <v>0.2</v>
      </c>
      <c r="I39">
        <v>0.1892</v>
      </c>
      <c r="J39">
        <v>103276.3</v>
      </c>
      <c r="K39">
        <v>1094786.81</v>
      </c>
      <c r="L39" t="s">
        <v>103</v>
      </c>
      <c r="M39" t="s">
        <v>104</v>
      </c>
      <c r="N39" s="3">
        <v>45770</v>
      </c>
      <c r="O39">
        <v>38</v>
      </c>
      <c r="P39">
        <v>58</v>
      </c>
      <c r="Q39">
        <v>-20</v>
      </c>
      <c r="R39" t="s">
        <v>105</v>
      </c>
    </row>
    <row r="40" spans="1:18">
      <c r="A40" t="s">
        <v>46</v>
      </c>
      <c r="B40" s="3">
        <v>45742</v>
      </c>
      <c r="C40">
        <v>106</v>
      </c>
      <c r="D40">
        <v>107.58</v>
      </c>
      <c r="E40">
        <v>106</v>
      </c>
      <c r="F40">
        <v>106.61</v>
      </c>
      <c r="G40">
        <v>105.9</v>
      </c>
      <c r="H40">
        <v>0.71</v>
      </c>
      <c r="I40">
        <v>0.6704</v>
      </c>
      <c r="J40">
        <v>107859.16</v>
      </c>
      <c r="K40">
        <v>1151155.018</v>
      </c>
      <c r="L40" t="s">
        <v>103</v>
      </c>
      <c r="M40" t="s">
        <v>104</v>
      </c>
      <c r="N40" s="3">
        <v>45770</v>
      </c>
      <c r="O40">
        <v>39</v>
      </c>
      <c r="P40">
        <v>58</v>
      </c>
      <c r="Q40">
        <v>-19</v>
      </c>
      <c r="R40" t="s">
        <v>105</v>
      </c>
    </row>
    <row r="41" spans="1:18">
      <c r="A41" t="s">
        <v>46</v>
      </c>
      <c r="B41" s="3">
        <v>45743</v>
      </c>
      <c r="C41">
        <v>106.8</v>
      </c>
      <c r="D41">
        <v>107.48</v>
      </c>
      <c r="E41">
        <v>106.3</v>
      </c>
      <c r="F41">
        <v>106.51</v>
      </c>
      <c r="G41">
        <v>106.61</v>
      </c>
      <c r="H41">
        <v>-0.1</v>
      </c>
      <c r="I41">
        <v>-0.0938</v>
      </c>
      <c r="J41">
        <v>99287.19</v>
      </c>
      <c r="K41">
        <v>1061122.762</v>
      </c>
      <c r="L41" t="s">
        <v>103</v>
      </c>
      <c r="M41" t="s">
        <v>104</v>
      </c>
      <c r="N41" s="3">
        <v>45770</v>
      </c>
      <c r="O41">
        <v>40</v>
      </c>
      <c r="P41">
        <v>58</v>
      </c>
      <c r="Q41">
        <v>-18</v>
      </c>
      <c r="R41" t="s">
        <v>105</v>
      </c>
    </row>
    <row r="42" spans="1:18">
      <c r="A42" t="s">
        <v>46</v>
      </c>
      <c r="B42" s="3">
        <v>45744</v>
      </c>
      <c r="C42">
        <v>106.63</v>
      </c>
      <c r="D42">
        <v>106.7</v>
      </c>
      <c r="E42">
        <v>106.01</v>
      </c>
      <c r="F42">
        <v>106.4</v>
      </c>
      <c r="G42">
        <v>106.51</v>
      </c>
      <c r="H42">
        <v>-0.11</v>
      </c>
      <c r="I42">
        <v>-0.1033</v>
      </c>
      <c r="J42">
        <v>58050.79</v>
      </c>
      <c r="K42">
        <v>616898.694</v>
      </c>
      <c r="L42" t="s">
        <v>103</v>
      </c>
      <c r="M42" t="s">
        <v>104</v>
      </c>
      <c r="N42" s="3">
        <v>45770</v>
      </c>
      <c r="O42">
        <v>41</v>
      </c>
      <c r="P42">
        <v>58</v>
      </c>
      <c r="Q42">
        <v>-17</v>
      </c>
      <c r="R42" t="s">
        <v>105</v>
      </c>
    </row>
    <row r="43" spans="1:18">
      <c r="A43" t="s">
        <v>46</v>
      </c>
      <c r="B43" s="3">
        <v>45747</v>
      </c>
      <c r="C43">
        <v>106.44</v>
      </c>
      <c r="D43">
        <v>107.7</v>
      </c>
      <c r="E43">
        <v>106.3</v>
      </c>
      <c r="F43">
        <v>107.36</v>
      </c>
      <c r="G43">
        <v>106.4</v>
      </c>
      <c r="H43">
        <v>0.96</v>
      </c>
      <c r="I43">
        <v>0.9023</v>
      </c>
      <c r="J43">
        <v>154433</v>
      </c>
      <c r="K43">
        <v>1655613.366</v>
      </c>
      <c r="L43" t="s">
        <v>103</v>
      </c>
      <c r="M43" t="s">
        <v>104</v>
      </c>
      <c r="N43" s="3">
        <v>45770</v>
      </c>
      <c r="O43">
        <v>42</v>
      </c>
      <c r="P43">
        <v>58</v>
      </c>
      <c r="Q43">
        <v>-16</v>
      </c>
      <c r="R43" t="s">
        <v>105</v>
      </c>
    </row>
    <row r="44" spans="1:18">
      <c r="A44" t="s">
        <v>46</v>
      </c>
      <c r="B44" s="3">
        <v>45748</v>
      </c>
      <c r="C44">
        <v>107.38</v>
      </c>
      <c r="D44">
        <v>107.39</v>
      </c>
      <c r="E44">
        <v>106.38</v>
      </c>
      <c r="F44">
        <v>107</v>
      </c>
      <c r="G44">
        <v>107.36</v>
      </c>
      <c r="H44">
        <v>-0.36</v>
      </c>
      <c r="I44">
        <v>-0.3353</v>
      </c>
      <c r="J44">
        <v>105649.86</v>
      </c>
      <c r="K44">
        <v>1128292.883</v>
      </c>
      <c r="L44" t="s">
        <v>103</v>
      </c>
      <c r="M44" t="s">
        <v>104</v>
      </c>
      <c r="N44" s="3">
        <v>45770</v>
      </c>
      <c r="O44">
        <v>43</v>
      </c>
      <c r="P44">
        <v>58</v>
      </c>
      <c r="Q44">
        <v>-15</v>
      </c>
      <c r="R44" t="s">
        <v>105</v>
      </c>
    </row>
    <row r="45" spans="1:18">
      <c r="A45" t="s">
        <v>46</v>
      </c>
      <c r="B45" s="3">
        <v>45749</v>
      </c>
      <c r="C45">
        <v>106.89</v>
      </c>
      <c r="D45">
        <v>107.88</v>
      </c>
      <c r="E45">
        <v>106.6</v>
      </c>
      <c r="F45">
        <v>107.66</v>
      </c>
      <c r="G45">
        <v>107</v>
      </c>
      <c r="H45">
        <v>0.66</v>
      </c>
      <c r="I45">
        <v>0.6168</v>
      </c>
      <c r="J45">
        <v>103745.63</v>
      </c>
      <c r="K45">
        <v>1113899.799</v>
      </c>
      <c r="L45" t="s">
        <v>103</v>
      </c>
      <c r="M45" t="s">
        <v>104</v>
      </c>
      <c r="N45" s="3">
        <v>45770</v>
      </c>
      <c r="O45">
        <v>44</v>
      </c>
      <c r="P45">
        <v>58</v>
      </c>
      <c r="Q45">
        <v>-14</v>
      </c>
      <c r="R45" t="s">
        <v>105</v>
      </c>
    </row>
    <row r="46" spans="1:18">
      <c r="A46" t="s">
        <v>46</v>
      </c>
      <c r="B46" s="3">
        <v>45750</v>
      </c>
      <c r="C46">
        <v>107.3</v>
      </c>
      <c r="D46">
        <v>109.36</v>
      </c>
      <c r="E46">
        <v>107.18</v>
      </c>
      <c r="F46">
        <v>108.99</v>
      </c>
      <c r="G46">
        <v>107.66</v>
      </c>
      <c r="H46">
        <v>1.33</v>
      </c>
      <c r="I46">
        <v>1.2354</v>
      </c>
      <c r="J46">
        <v>170705.15</v>
      </c>
      <c r="K46">
        <v>1855977.605</v>
      </c>
      <c r="L46" t="s">
        <v>103</v>
      </c>
      <c r="M46" t="s">
        <v>104</v>
      </c>
      <c r="N46" s="3">
        <v>45770</v>
      </c>
      <c r="O46">
        <v>45</v>
      </c>
      <c r="P46">
        <v>58</v>
      </c>
      <c r="Q46">
        <v>-13</v>
      </c>
      <c r="R46" t="s">
        <v>105</v>
      </c>
    </row>
    <row r="47" spans="1:18">
      <c r="A47" t="s">
        <v>46</v>
      </c>
      <c r="B47" s="3">
        <v>45754</v>
      </c>
      <c r="C47">
        <v>106.5</v>
      </c>
      <c r="D47">
        <v>109.2</v>
      </c>
      <c r="E47">
        <v>104.6</v>
      </c>
      <c r="F47">
        <v>108.45</v>
      </c>
      <c r="G47">
        <v>108.99</v>
      </c>
      <c r="H47">
        <v>-0.54</v>
      </c>
      <c r="I47">
        <v>-0.4955</v>
      </c>
      <c r="J47">
        <v>368284.74</v>
      </c>
      <c r="K47">
        <v>3965124.095</v>
      </c>
      <c r="L47" t="s">
        <v>103</v>
      </c>
      <c r="M47" t="s">
        <v>104</v>
      </c>
      <c r="N47" s="3">
        <v>45770</v>
      </c>
      <c r="O47">
        <v>46</v>
      </c>
      <c r="P47">
        <v>58</v>
      </c>
      <c r="Q47">
        <v>-12</v>
      </c>
      <c r="R47" t="s">
        <v>105</v>
      </c>
    </row>
    <row r="48" spans="1:18">
      <c r="A48" t="s">
        <v>46</v>
      </c>
      <c r="B48" s="3">
        <v>45755</v>
      </c>
      <c r="C48">
        <v>107.99</v>
      </c>
      <c r="D48">
        <v>111.7</v>
      </c>
      <c r="E48">
        <v>107.5</v>
      </c>
      <c r="F48">
        <v>111.6</v>
      </c>
      <c r="G48">
        <v>108.45</v>
      </c>
      <c r="H48">
        <v>3.15</v>
      </c>
      <c r="I48">
        <v>2.9046</v>
      </c>
      <c r="J48">
        <v>322765.7</v>
      </c>
      <c r="K48">
        <v>3549051.527</v>
      </c>
      <c r="L48" t="s">
        <v>103</v>
      </c>
      <c r="M48" t="s">
        <v>104</v>
      </c>
      <c r="N48" s="3">
        <v>45770</v>
      </c>
      <c r="O48">
        <v>47</v>
      </c>
      <c r="P48">
        <v>58</v>
      </c>
      <c r="Q48">
        <v>-11</v>
      </c>
      <c r="R48" t="s">
        <v>105</v>
      </c>
    </row>
    <row r="49" spans="1:19">
      <c r="A49" t="s">
        <v>46</v>
      </c>
      <c r="B49" s="3">
        <v>45756</v>
      </c>
      <c r="C49">
        <v>111.59</v>
      </c>
      <c r="D49">
        <v>112.6</v>
      </c>
      <c r="E49">
        <v>109.12</v>
      </c>
      <c r="F49">
        <v>112.6</v>
      </c>
      <c r="G49">
        <v>111.6</v>
      </c>
      <c r="H49">
        <v>1</v>
      </c>
      <c r="I49">
        <v>0.8961</v>
      </c>
      <c r="J49">
        <v>190320.71</v>
      </c>
      <c r="K49">
        <v>2103957.813</v>
      </c>
      <c r="L49" t="s">
        <v>103</v>
      </c>
      <c r="M49" t="s">
        <v>104</v>
      </c>
      <c r="N49" s="3">
        <v>45770</v>
      </c>
      <c r="O49">
        <v>48</v>
      </c>
      <c r="P49">
        <v>58</v>
      </c>
      <c r="Q49">
        <v>-10</v>
      </c>
      <c r="R49" t="s">
        <v>105</v>
      </c>
    </row>
    <row r="50" spans="1:19">
      <c r="A50" t="s">
        <v>46</v>
      </c>
      <c r="B50" s="3">
        <v>45757</v>
      </c>
      <c r="C50">
        <v>111.7</v>
      </c>
      <c r="D50">
        <v>111.7</v>
      </c>
      <c r="E50">
        <v>109.1</v>
      </c>
      <c r="F50">
        <v>110.9</v>
      </c>
      <c r="G50">
        <v>112.6</v>
      </c>
      <c r="H50">
        <v>-1.7</v>
      </c>
      <c r="I50">
        <v>-1.5098</v>
      </c>
      <c r="J50">
        <v>171176.75</v>
      </c>
      <c r="K50">
        <v>1882542.875</v>
      </c>
      <c r="L50" t="s">
        <v>103</v>
      </c>
      <c r="M50" t="s">
        <v>104</v>
      </c>
      <c r="N50" s="3">
        <v>45770</v>
      </c>
      <c r="O50">
        <v>49</v>
      </c>
      <c r="P50">
        <v>58</v>
      </c>
      <c r="Q50">
        <v>-9</v>
      </c>
      <c r="R50" t="s">
        <v>105</v>
      </c>
    </row>
    <row r="51" spans="1:19">
      <c r="A51" t="s">
        <v>46</v>
      </c>
      <c r="B51" s="3">
        <v>45758</v>
      </c>
      <c r="C51">
        <v>110.29</v>
      </c>
      <c r="D51">
        <v>110.39</v>
      </c>
      <c r="E51">
        <v>109.12</v>
      </c>
      <c r="F51">
        <v>109.79</v>
      </c>
      <c r="G51">
        <v>110.9</v>
      </c>
      <c r="H51">
        <v>-1.11</v>
      </c>
      <c r="I51">
        <v>-1.0009</v>
      </c>
      <c r="J51">
        <v>114881.15</v>
      </c>
      <c r="K51">
        <v>1258626.227</v>
      </c>
      <c r="L51" t="s">
        <v>103</v>
      </c>
      <c r="M51" t="s">
        <v>104</v>
      </c>
      <c r="N51" s="3">
        <v>45770</v>
      </c>
      <c r="O51">
        <v>50</v>
      </c>
      <c r="P51">
        <v>58</v>
      </c>
      <c r="Q51">
        <v>-8</v>
      </c>
      <c r="R51" t="s">
        <v>105</v>
      </c>
    </row>
    <row r="52" spans="1:19">
      <c r="A52" t="s">
        <v>46</v>
      </c>
      <c r="B52" s="3">
        <v>45761</v>
      </c>
      <c r="C52">
        <v>109.3</v>
      </c>
      <c r="D52">
        <v>110.96</v>
      </c>
      <c r="E52">
        <v>108.62</v>
      </c>
      <c r="F52">
        <v>110.4</v>
      </c>
      <c r="G52">
        <v>109.79</v>
      </c>
      <c r="H52">
        <v>0.61</v>
      </c>
      <c r="I52">
        <v>0.5556</v>
      </c>
      <c r="J52">
        <v>132411.79</v>
      </c>
      <c r="K52">
        <v>1458472.808</v>
      </c>
      <c r="L52" t="s">
        <v>103</v>
      </c>
      <c r="M52" t="s">
        <v>104</v>
      </c>
      <c r="N52" s="3">
        <v>45770</v>
      </c>
      <c r="O52">
        <v>51</v>
      </c>
      <c r="P52">
        <v>58</v>
      </c>
      <c r="Q52">
        <v>-7</v>
      </c>
      <c r="R52" t="s">
        <v>105</v>
      </c>
    </row>
    <row r="53" spans="1:19">
      <c r="A53" t="s">
        <v>46</v>
      </c>
      <c r="B53" s="3">
        <v>45762</v>
      </c>
      <c r="C53">
        <v>110.43</v>
      </c>
      <c r="D53">
        <v>111.99</v>
      </c>
      <c r="E53">
        <v>110.11</v>
      </c>
      <c r="F53">
        <v>111.75</v>
      </c>
      <c r="G53">
        <v>110.4</v>
      </c>
      <c r="H53">
        <v>1.35</v>
      </c>
      <c r="I53">
        <v>1.2228</v>
      </c>
      <c r="J53">
        <v>123240.69</v>
      </c>
      <c r="K53">
        <v>1373850.76</v>
      </c>
      <c r="L53" t="s">
        <v>103</v>
      </c>
      <c r="M53" t="s">
        <v>104</v>
      </c>
      <c r="N53" s="3">
        <v>45770</v>
      </c>
      <c r="O53">
        <v>52</v>
      </c>
      <c r="P53">
        <v>58</v>
      </c>
      <c r="Q53">
        <v>-6</v>
      </c>
      <c r="R53" t="s">
        <v>105</v>
      </c>
    </row>
    <row r="54" spans="1:19">
      <c r="A54" t="s">
        <v>46</v>
      </c>
      <c r="B54" s="3">
        <v>45763</v>
      </c>
      <c r="C54">
        <v>111.7</v>
      </c>
      <c r="D54">
        <v>114.16</v>
      </c>
      <c r="E54">
        <v>111.24</v>
      </c>
      <c r="F54">
        <v>114.02</v>
      </c>
      <c r="G54">
        <v>111.75</v>
      </c>
      <c r="H54">
        <v>2.27</v>
      </c>
      <c r="I54">
        <v>2.0313</v>
      </c>
      <c r="J54">
        <v>186959.63</v>
      </c>
      <c r="K54">
        <v>2119415.726</v>
      </c>
      <c r="L54" t="s">
        <v>103</v>
      </c>
      <c r="M54" t="s">
        <v>104</v>
      </c>
      <c r="N54" s="3">
        <v>45770</v>
      </c>
      <c r="O54">
        <v>53</v>
      </c>
      <c r="P54">
        <v>58</v>
      </c>
      <c r="Q54">
        <v>-5</v>
      </c>
      <c r="R54" t="s">
        <v>105</v>
      </c>
    </row>
    <row r="55" spans="1:19">
      <c r="A55" t="s">
        <v>46</v>
      </c>
      <c r="B55" s="3">
        <v>45764</v>
      </c>
      <c r="C55">
        <v>113.94</v>
      </c>
      <c r="D55">
        <v>114.37</v>
      </c>
      <c r="E55">
        <v>112.88</v>
      </c>
      <c r="F55">
        <v>114.26</v>
      </c>
      <c r="G55">
        <v>114.02</v>
      </c>
      <c r="H55">
        <v>0.24</v>
      </c>
      <c r="I55">
        <v>0.2105</v>
      </c>
      <c r="J55">
        <v>89977.16</v>
      </c>
      <c r="K55">
        <v>1023749.291</v>
      </c>
      <c r="L55" t="s">
        <v>103</v>
      </c>
      <c r="M55" t="s">
        <v>104</v>
      </c>
      <c r="N55" s="3">
        <v>45770</v>
      </c>
      <c r="O55">
        <v>54</v>
      </c>
      <c r="P55">
        <v>58</v>
      </c>
      <c r="Q55">
        <v>-4</v>
      </c>
      <c r="R55" t="s">
        <v>105</v>
      </c>
    </row>
    <row r="56" spans="1:19">
      <c r="A56" t="s">
        <v>46</v>
      </c>
      <c r="B56" s="3">
        <v>45765</v>
      </c>
      <c r="C56">
        <v>113.99</v>
      </c>
      <c r="D56">
        <v>114.81</v>
      </c>
      <c r="E56">
        <v>113.4</v>
      </c>
      <c r="F56">
        <v>114.79</v>
      </c>
      <c r="G56">
        <v>114.26</v>
      </c>
      <c r="H56">
        <v>0.53</v>
      </c>
      <c r="I56">
        <v>0.4639</v>
      </c>
      <c r="J56">
        <v>82039.62</v>
      </c>
      <c r="K56">
        <v>937490.702</v>
      </c>
      <c r="L56" t="s">
        <v>103</v>
      </c>
      <c r="M56" t="s">
        <v>104</v>
      </c>
      <c r="N56" s="3">
        <v>45770</v>
      </c>
      <c r="O56">
        <v>55</v>
      </c>
      <c r="P56">
        <v>58</v>
      </c>
      <c r="Q56">
        <v>-3</v>
      </c>
      <c r="R56" t="s">
        <v>105</v>
      </c>
    </row>
    <row r="57" spans="1:19">
      <c r="A57" t="s">
        <v>46</v>
      </c>
      <c r="B57" s="3">
        <v>45768</v>
      </c>
      <c r="C57">
        <v>114.29</v>
      </c>
      <c r="D57">
        <v>114.74</v>
      </c>
      <c r="E57">
        <v>112.46</v>
      </c>
      <c r="F57">
        <v>112.9</v>
      </c>
      <c r="G57">
        <v>114.79</v>
      </c>
      <c r="H57">
        <v>-1.89</v>
      </c>
      <c r="I57">
        <v>-1.6465</v>
      </c>
      <c r="J57">
        <v>121185.73</v>
      </c>
      <c r="K57">
        <v>1372847.11</v>
      </c>
      <c r="L57" t="s">
        <v>103</v>
      </c>
      <c r="M57" t="s">
        <v>104</v>
      </c>
      <c r="N57" s="3">
        <v>45770</v>
      </c>
      <c r="O57">
        <v>56</v>
      </c>
      <c r="P57">
        <v>58</v>
      </c>
      <c r="Q57">
        <v>-2</v>
      </c>
      <c r="R57" t="s">
        <v>105</v>
      </c>
    </row>
    <row r="58" spans="1:19">
      <c r="A58" t="s">
        <v>46</v>
      </c>
      <c r="B58" s="3">
        <v>45769</v>
      </c>
      <c r="C58">
        <v>112.8</v>
      </c>
      <c r="D58">
        <v>113.67</v>
      </c>
      <c r="E58">
        <v>112.66</v>
      </c>
      <c r="F58">
        <v>112.91</v>
      </c>
      <c r="G58">
        <v>112.9</v>
      </c>
      <c r="H58">
        <v>0.01</v>
      </c>
      <c r="I58">
        <v>0.0089</v>
      </c>
      <c r="J58">
        <v>75555.42</v>
      </c>
      <c r="K58">
        <v>854084.536</v>
      </c>
      <c r="L58" t="s">
        <v>103</v>
      </c>
      <c r="M58" t="s">
        <v>104</v>
      </c>
      <c r="N58" s="3">
        <v>45770</v>
      </c>
      <c r="O58">
        <v>57</v>
      </c>
      <c r="P58">
        <v>58</v>
      </c>
      <c r="Q58">
        <v>-1</v>
      </c>
      <c r="R58" t="s">
        <v>105</v>
      </c>
    </row>
    <row r="59" spans="1:19">
      <c r="A59" t="s">
        <v>46</v>
      </c>
      <c r="B59" s="3">
        <v>45770</v>
      </c>
      <c r="C59">
        <v>112.51</v>
      </c>
      <c r="D59">
        <v>112.8</v>
      </c>
      <c r="E59">
        <v>110.65</v>
      </c>
      <c r="F59">
        <v>110.84</v>
      </c>
      <c r="G59">
        <v>112.91</v>
      </c>
      <c r="H59">
        <v>-2.07</v>
      </c>
      <c r="I59">
        <v>-1.8333</v>
      </c>
      <c r="J59">
        <v>126176.29</v>
      </c>
      <c r="K59">
        <v>1403110.751</v>
      </c>
      <c r="L59" t="s">
        <v>103</v>
      </c>
      <c r="M59" t="s">
        <v>104</v>
      </c>
      <c r="N59" s="3">
        <v>45770</v>
      </c>
      <c r="O59">
        <v>58</v>
      </c>
      <c r="P59">
        <v>58</v>
      </c>
      <c r="Q59">
        <v>0</v>
      </c>
      <c r="R59" t="s">
        <v>106</v>
      </c>
      <c r="S59" t="s">
        <v>146</v>
      </c>
    </row>
    <row r="60" spans="1:19">
      <c r="A60" t="s">
        <v>46</v>
      </c>
      <c r="B60" s="3">
        <v>45771</v>
      </c>
      <c r="C60">
        <v>110.5</v>
      </c>
      <c r="D60">
        <v>111.04</v>
      </c>
      <c r="E60">
        <v>110.01</v>
      </c>
      <c r="F60">
        <v>110.46</v>
      </c>
      <c r="G60">
        <v>110.84</v>
      </c>
      <c r="H60">
        <v>-0.38</v>
      </c>
      <c r="I60">
        <v>-0.3428</v>
      </c>
      <c r="J60">
        <v>73109.17</v>
      </c>
      <c r="K60">
        <v>807584.735</v>
      </c>
      <c r="L60" t="s">
        <v>103</v>
      </c>
      <c r="M60" t="s">
        <v>104</v>
      </c>
      <c r="N60" s="3">
        <v>45770</v>
      </c>
      <c r="O60">
        <v>59</v>
      </c>
      <c r="P60">
        <v>58</v>
      </c>
      <c r="Q60">
        <v>1</v>
      </c>
      <c r="R60" t="s">
        <v>107</v>
      </c>
    </row>
    <row r="61" spans="1:19">
      <c r="A61" t="s">
        <v>46</v>
      </c>
      <c r="B61" s="3">
        <v>45772</v>
      </c>
      <c r="C61">
        <v>110.47</v>
      </c>
      <c r="D61">
        <v>110.99</v>
      </c>
      <c r="E61">
        <v>110.07</v>
      </c>
      <c r="F61">
        <v>110.95</v>
      </c>
      <c r="G61">
        <v>110.46</v>
      </c>
      <c r="H61">
        <v>0.49</v>
      </c>
      <c r="I61">
        <v>0.4436</v>
      </c>
      <c r="J61">
        <v>61342.59</v>
      </c>
      <c r="K61">
        <v>678460.408</v>
      </c>
      <c r="L61" t="s">
        <v>103</v>
      </c>
      <c r="M61" t="s">
        <v>104</v>
      </c>
      <c r="N61" s="3">
        <v>45770</v>
      </c>
      <c r="O61">
        <v>60</v>
      </c>
      <c r="P61">
        <v>58</v>
      </c>
      <c r="Q61">
        <v>2</v>
      </c>
      <c r="R61" t="s">
        <v>107</v>
      </c>
    </row>
    <row r="62" spans="1:19">
      <c r="A62" t="s">
        <v>46</v>
      </c>
      <c r="B62" s="3">
        <v>45775</v>
      </c>
      <c r="C62">
        <v>110.87</v>
      </c>
      <c r="D62">
        <v>113.35</v>
      </c>
      <c r="E62">
        <v>110.52</v>
      </c>
      <c r="F62">
        <v>112.26</v>
      </c>
      <c r="G62">
        <v>110.95</v>
      </c>
      <c r="H62">
        <v>1.31</v>
      </c>
      <c r="I62">
        <v>1.1807</v>
      </c>
      <c r="J62">
        <v>114622.55</v>
      </c>
      <c r="K62">
        <v>1288430.609</v>
      </c>
      <c r="L62" t="s">
        <v>103</v>
      </c>
      <c r="M62" t="s">
        <v>104</v>
      </c>
      <c r="N62" s="3">
        <v>45770</v>
      </c>
      <c r="O62">
        <v>61</v>
      </c>
      <c r="P62">
        <v>58</v>
      </c>
      <c r="Q62">
        <v>3</v>
      </c>
      <c r="R62" t="s">
        <v>107</v>
      </c>
    </row>
  </sheetData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48</v>
      </c>
    </row>
    <row r="3" spans="1:2">
      <c r="A3" s="5" t="s">
        <v>75</v>
      </c>
      <c r="B3" s="6" t="s">
        <v>49</v>
      </c>
    </row>
    <row r="4" spans="1:2">
      <c r="A4" s="5" t="s">
        <v>2</v>
      </c>
      <c r="B4" s="7">
        <v>45527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45527</v>
      </c>
    </row>
    <row r="9" spans="1:2">
      <c r="A9" s="5" t="s">
        <v>1</v>
      </c>
      <c r="B9">
        <v>12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147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48</v>
      </c>
      <c r="B2" s="3">
        <v>45435</v>
      </c>
      <c r="C2">
        <v>44.23</v>
      </c>
      <c r="D2">
        <v>44.3</v>
      </c>
      <c r="E2">
        <v>42.45</v>
      </c>
      <c r="F2">
        <v>42.65</v>
      </c>
      <c r="G2">
        <v>43.89</v>
      </c>
      <c r="H2">
        <v>-1.24</v>
      </c>
      <c r="I2">
        <v>-2.8252</v>
      </c>
      <c r="J2">
        <v>418899.86</v>
      </c>
      <c r="K2">
        <v>1803930.999</v>
      </c>
      <c r="L2" t="s">
        <v>103</v>
      </c>
      <c r="M2" t="s">
        <v>104</v>
      </c>
      <c r="N2" s="3">
        <v>45527</v>
      </c>
      <c r="O2">
        <v>1</v>
      </c>
      <c r="P2">
        <v>66</v>
      </c>
      <c r="Q2">
        <v>-65</v>
      </c>
      <c r="R2" t="s">
        <v>105</v>
      </c>
    </row>
    <row r="3" spans="1:19">
      <c r="A3" t="s">
        <v>48</v>
      </c>
      <c r="B3" s="3">
        <v>45436</v>
      </c>
      <c r="C3">
        <v>42.65</v>
      </c>
      <c r="D3">
        <v>43.12</v>
      </c>
      <c r="E3">
        <v>41.35</v>
      </c>
      <c r="F3">
        <v>41.35</v>
      </c>
      <c r="G3">
        <v>42.65</v>
      </c>
      <c r="H3">
        <v>-1.3</v>
      </c>
      <c r="I3">
        <v>-3.0481</v>
      </c>
      <c r="J3">
        <v>415191.77</v>
      </c>
      <c r="K3">
        <v>1753840.792</v>
      </c>
      <c r="L3" t="s">
        <v>103</v>
      </c>
      <c r="M3" t="s">
        <v>104</v>
      </c>
      <c r="N3" s="3">
        <v>45527</v>
      </c>
      <c r="O3">
        <v>2</v>
      </c>
      <c r="P3">
        <v>66</v>
      </c>
      <c r="Q3">
        <v>-64</v>
      </c>
      <c r="R3" t="s">
        <v>105</v>
      </c>
    </row>
    <row r="4" spans="1:19">
      <c r="A4" t="s">
        <v>48</v>
      </c>
      <c r="B4" s="3">
        <v>45439</v>
      </c>
      <c r="C4">
        <v>41.39</v>
      </c>
      <c r="D4">
        <v>42.17</v>
      </c>
      <c r="E4">
        <v>40.71</v>
      </c>
      <c r="F4">
        <v>42.17</v>
      </c>
      <c r="G4">
        <v>41.35</v>
      </c>
      <c r="H4">
        <v>0.82</v>
      </c>
      <c r="I4">
        <v>1.9831</v>
      </c>
      <c r="J4">
        <v>390833.99</v>
      </c>
      <c r="K4">
        <v>1618755.955</v>
      </c>
      <c r="L4" t="s">
        <v>103</v>
      </c>
      <c r="M4" t="s">
        <v>104</v>
      </c>
      <c r="N4" s="3">
        <v>45527</v>
      </c>
      <c r="O4">
        <v>3</v>
      </c>
      <c r="P4">
        <v>66</v>
      </c>
      <c r="Q4">
        <v>-63</v>
      </c>
      <c r="R4" t="s">
        <v>105</v>
      </c>
    </row>
    <row r="5" spans="1:19">
      <c r="A5" t="s">
        <v>48</v>
      </c>
      <c r="B5" s="3">
        <v>45440</v>
      </c>
      <c r="C5">
        <v>41.97</v>
      </c>
      <c r="D5">
        <v>42.29</v>
      </c>
      <c r="E5">
        <v>41.09</v>
      </c>
      <c r="F5">
        <v>41.15</v>
      </c>
      <c r="G5">
        <v>42.17</v>
      </c>
      <c r="H5">
        <v>-1.02</v>
      </c>
      <c r="I5">
        <v>-2.4188</v>
      </c>
      <c r="J5">
        <v>284395.4</v>
      </c>
      <c r="K5">
        <v>1182942.445</v>
      </c>
      <c r="L5" t="s">
        <v>103</v>
      </c>
      <c r="M5" t="s">
        <v>104</v>
      </c>
      <c r="N5" s="3">
        <v>45527</v>
      </c>
      <c r="O5">
        <v>4</v>
      </c>
      <c r="P5">
        <v>66</v>
      </c>
      <c r="Q5">
        <v>-62</v>
      </c>
      <c r="R5" t="s">
        <v>105</v>
      </c>
    </row>
    <row r="6" spans="1:19">
      <c r="A6" t="s">
        <v>48</v>
      </c>
      <c r="B6" s="3">
        <v>45441</v>
      </c>
      <c r="C6">
        <v>41.4</v>
      </c>
      <c r="D6">
        <v>41.56</v>
      </c>
      <c r="E6">
        <v>40.13</v>
      </c>
      <c r="F6">
        <v>40.58</v>
      </c>
      <c r="G6">
        <v>41.15</v>
      </c>
      <c r="H6">
        <v>-0.57</v>
      </c>
      <c r="I6">
        <v>-1.3852</v>
      </c>
      <c r="J6">
        <v>345945.6</v>
      </c>
      <c r="K6">
        <v>1409572.602</v>
      </c>
      <c r="L6" t="s">
        <v>103</v>
      </c>
      <c r="M6" t="s">
        <v>104</v>
      </c>
      <c r="N6" s="3">
        <v>45527</v>
      </c>
      <c r="O6">
        <v>5</v>
      </c>
      <c r="P6">
        <v>66</v>
      </c>
      <c r="Q6">
        <v>-61</v>
      </c>
      <c r="R6" t="s">
        <v>105</v>
      </c>
    </row>
    <row r="7" spans="1:19">
      <c r="A7" t="s">
        <v>48</v>
      </c>
      <c r="B7" s="3">
        <v>45442</v>
      </c>
      <c r="C7">
        <v>40.25</v>
      </c>
      <c r="D7">
        <v>40.76</v>
      </c>
      <c r="E7">
        <v>39.79</v>
      </c>
      <c r="F7">
        <v>40.4</v>
      </c>
      <c r="G7">
        <v>40.58</v>
      </c>
      <c r="H7">
        <v>-0.18</v>
      </c>
      <c r="I7">
        <v>-0.4436</v>
      </c>
      <c r="J7">
        <v>249240.04</v>
      </c>
      <c r="K7">
        <v>1002547.349</v>
      </c>
      <c r="L7" t="s">
        <v>103</v>
      </c>
      <c r="M7" t="s">
        <v>104</v>
      </c>
      <c r="N7" s="3">
        <v>45527</v>
      </c>
      <c r="O7">
        <v>6</v>
      </c>
      <c r="P7">
        <v>66</v>
      </c>
      <c r="Q7">
        <v>-60</v>
      </c>
      <c r="R7" t="s">
        <v>105</v>
      </c>
    </row>
    <row r="8" spans="1:19">
      <c r="A8" t="s">
        <v>48</v>
      </c>
      <c r="B8" s="3">
        <v>45443</v>
      </c>
      <c r="C8">
        <v>40.47</v>
      </c>
      <c r="D8">
        <v>41.68</v>
      </c>
      <c r="E8">
        <v>40.31</v>
      </c>
      <c r="F8">
        <v>40.87</v>
      </c>
      <c r="G8">
        <v>40.4</v>
      </c>
      <c r="H8">
        <v>0.47</v>
      </c>
      <c r="I8">
        <v>1.1634</v>
      </c>
      <c r="J8">
        <v>309810.58</v>
      </c>
      <c r="K8">
        <v>1271946.657</v>
      </c>
      <c r="L8" t="s">
        <v>103</v>
      </c>
      <c r="M8" t="s">
        <v>104</v>
      </c>
      <c r="N8" s="3">
        <v>45527</v>
      </c>
      <c r="O8">
        <v>7</v>
      </c>
      <c r="P8">
        <v>66</v>
      </c>
      <c r="Q8">
        <v>-59</v>
      </c>
      <c r="R8" t="s">
        <v>105</v>
      </c>
    </row>
    <row r="9" spans="1:19">
      <c r="A9" t="s">
        <v>48</v>
      </c>
      <c r="B9" s="3">
        <v>45446</v>
      </c>
      <c r="C9">
        <v>40.88</v>
      </c>
      <c r="D9">
        <v>41.29</v>
      </c>
      <c r="E9">
        <v>40.35</v>
      </c>
      <c r="F9">
        <v>40.78</v>
      </c>
      <c r="G9">
        <v>40.87</v>
      </c>
      <c r="H9">
        <v>-0.09</v>
      </c>
      <c r="I9">
        <v>-0.2202</v>
      </c>
      <c r="J9">
        <v>290385.65</v>
      </c>
      <c r="K9">
        <v>1186885.843</v>
      </c>
      <c r="L9" t="s">
        <v>103</v>
      </c>
      <c r="M9" t="s">
        <v>104</v>
      </c>
      <c r="N9" s="3">
        <v>45527</v>
      </c>
      <c r="O9">
        <v>8</v>
      </c>
      <c r="P9">
        <v>66</v>
      </c>
      <c r="Q9">
        <v>-58</v>
      </c>
      <c r="R9" t="s">
        <v>105</v>
      </c>
    </row>
    <row r="10" spans="1:19">
      <c r="A10" t="s">
        <v>48</v>
      </c>
      <c r="B10" s="3">
        <v>45447</v>
      </c>
      <c r="C10">
        <v>40.8</v>
      </c>
      <c r="D10">
        <v>40.99</v>
      </c>
      <c r="E10">
        <v>40</v>
      </c>
      <c r="F10">
        <v>40.56</v>
      </c>
      <c r="G10">
        <v>40.78</v>
      </c>
      <c r="H10">
        <v>-0.22</v>
      </c>
      <c r="I10">
        <v>-0.5395</v>
      </c>
      <c r="J10">
        <v>267803.1</v>
      </c>
      <c r="K10">
        <v>1082572.585</v>
      </c>
      <c r="L10" t="s">
        <v>103</v>
      </c>
      <c r="M10" t="s">
        <v>104</v>
      </c>
      <c r="N10" s="3">
        <v>45527</v>
      </c>
      <c r="O10">
        <v>9</v>
      </c>
      <c r="P10">
        <v>66</v>
      </c>
      <c r="Q10">
        <v>-57</v>
      </c>
      <c r="R10" t="s">
        <v>105</v>
      </c>
    </row>
    <row r="11" spans="1:19">
      <c r="A11" t="s">
        <v>48</v>
      </c>
      <c r="B11" s="3">
        <v>45448</v>
      </c>
      <c r="C11">
        <v>40.6</v>
      </c>
      <c r="D11">
        <v>40.89</v>
      </c>
      <c r="E11">
        <v>39.87</v>
      </c>
      <c r="F11">
        <v>39.93</v>
      </c>
      <c r="G11">
        <v>40.56</v>
      </c>
      <c r="H11">
        <v>-0.63</v>
      </c>
      <c r="I11">
        <v>-1.5533</v>
      </c>
      <c r="J11">
        <v>232704.89</v>
      </c>
      <c r="K11">
        <v>940697.879</v>
      </c>
      <c r="L11" t="s">
        <v>103</v>
      </c>
      <c r="M11" t="s">
        <v>104</v>
      </c>
      <c r="N11" s="3">
        <v>45527</v>
      </c>
      <c r="O11">
        <v>10</v>
      </c>
      <c r="P11">
        <v>66</v>
      </c>
      <c r="Q11">
        <v>-56</v>
      </c>
      <c r="R11" t="s">
        <v>105</v>
      </c>
    </row>
    <row r="12" spans="1:19">
      <c r="A12" t="s">
        <v>48</v>
      </c>
      <c r="B12" s="3">
        <v>45449</v>
      </c>
      <c r="C12">
        <v>40.1</v>
      </c>
      <c r="D12">
        <v>41.28</v>
      </c>
      <c r="E12">
        <v>39.77</v>
      </c>
      <c r="F12">
        <v>40.02</v>
      </c>
      <c r="G12">
        <v>39.76</v>
      </c>
      <c r="H12">
        <v>0.26</v>
      </c>
      <c r="I12">
        <v>0.6539</v>
      </c>
      <c r="J12">
        <v>468422.46</v>
      </c>
      <c r="K12">
        <v>1894320.564</v>
      </c>
      <c r="L12" t="s">
        <v>103</v>
      </c>
      <c r="M12" t="s">
        <v>104</v>
      </c>
      <c r="N12" s="3">
        <v>45527</v>
      </c>
      <c r="O12">
        <v>11</v>
      </c>
      <c r="P12">
        <v>66</v>
      </c>
      <c r="Q12">
        <v>-55</v>
      </c>
      <c r="R12" t="s">
        <v>105</v>
      </c>
    </row>
    <row r="13" spans="1:19">
      <c r="A13" t="s">
        <v>48</v>
      </c>
      <c r="B13" s="3">
        <v>45450</v>
      </c>
      <c r="C13">
        <v>40.06</v>
      </c>
      <c r="D13">
        <v>40.12</v>
      </c>
      <c r="E13">
        <v>38.48</v>
      </c>
      <c r="F13">
        <v>38.85</v>
      </c>
      <c r="G13">
        <v>40.02</v>
      </c>
      <c r="H13">
        <v>-1.17</v>
      </c>
      <c r="I13">
        <v>-2.9235</v>
      </c>
      <c r="J13">
        <v>451072.31</v>
      </c>
      <c r="K13">
        <v>1760303.194</v>
      </c>
      <c r="L13" t="s">
        <v>103</v>
      </c>
      <c r="M13" t="s">
        <v>104</v>
      </c>
      <c r="N13" s="3">
        <v>45527</v>
      </c>
      <c r="O13">
        <v>12</v>
      </c>
      <c r="P13">
        <v>66</v>
      </c>
      <c r="Q13">
        <v>-54</v>
      </c>
      <c r="R13" t="s">
        <v>105</v>
      </c>
    </row>
    <row r="14" spans="1:19">
      <c r="A14" t="s">
        <v>48</v>
      </c>
      <c r="B14" s="3">
        <v>45454</v>
      </c>
      <c r="C14">
        <v>38.73</v>
      </c>
      <c r="D14">
        <v>40.08</v>
      </c>
      <c r="E14">
        <v>38.5</v>
      </c>
      <c r="F14">
        <v>39.99</v>
      </c>
      <c r="G14">
        <v>38.85</v>
      </c>
      <c r="H14">
        <v>1.14</v>
      </c>
      <c r="I14">
        <v>2.9344</v>
      </c>
      <c r="J14">
        <v>396549.98</v>
      </c>
      <c r="K14">
        <v>1569396.106</v>
      </c>
      <c r="L14" t="s">
        <v>103</v>
      </c>
      <c r="M14" t="s">
        <v>104</v>
      </c>
      <c r="N14" s="3">
        <v>45527</v>
      </c>
      <c r="O14">
        <v>13</v>
      </c>
      <c r="P14">
        <v>66</v>
      </c>
      <c r="Q14">
        <v>-53</v>
      </c>
      <c r="R14" t="s">
        <v>105</v>
      </c>
    </row>
    <row r="15" spans="1:19">
      <c r="A15" t="s">
        <v>48</v>
      </c>
      <c r="B15" s="3">
        <v>45455</v>
      </c>
      <c r="C15">
        <v>39.87</v>
      </c>
      <c r="D15">
        <v>40.65</v>
      </c>
      <c r="E15">
        <v>39.79</v>
      </c>
      <c r="F15">
        <v>40.29</v>
      </c>
      <c r="G15">
        <v>39.99</v>
      </c>
      <c r="H15">
        <v>0.3</v>
      </c>
      <c r="I15">
        <v>0.7502</v>
      </c>
      <c r="J15">
        <v>283448.08</v>
      </c>
      <c r="K15">
        <v>1141348.687</v>
      </c>
      <c r="L15" t="s">
        <v>103</v>
      </c>
      <c r="M15" t="s">
        <v>104</v>
      </c>
      <c r="N15" s="3">
        <v>45527</v>
      </c>
      <c r="O15">
        <v>14</v>
      </c>
      <c r="P15">
        <v>66</v>
      </c>
      <c r="Q15">
        <v>-52</v>
      </c>
      <c r="R15" t="s">
        <v>105</v>
      </c>
    </row>
    <row r="16" spans="1:19">
      <c r="A16" t="s">
        <v>48</v>
      </c>
      <c r="B16" s="3">
        <v>45456</v>
      </c>
      <c r="C16">
        <v>40.29</v>
      </c>
      <c r="D16">
        <v>41.41</v>
      </c>
      <c r="E16">
        <v>40.29</v>
      </c>
      <c r="F16">
        <v>40.84</v>
      </c>
      <c r="G16">
        <v>40.29</v>
      </c>
      <c r="H16">
        <v>0.55</v>
      </c>
      <c r="I16">
        <v>1.3651</v>
      </c>
      <c r="J16">
        <v>380983.52</v>
      </c>
      <c r="K16">
        <v>1558127.257</v>
      </c>
      <c r="L16" t="s">
        <v>103</v>
      </c>
      <c r="M16" t="s">
        <v>104</v>
      </c>
      <c r="N16" s="3">
        <v>45527</v>
      </c>
      <c r="O16">
        <v>15</v>
      </c>
      <c r="P16">
        <v>66</v>
      </c>
      <c r="Q16">
        <v>-51</v>
      </c>
      <c r="R16" t="s">
        <v>105</v>
      </c>
    </row>
    <row r="17" spans="1:18">
      <c r="A17" t="s">
        <v>48</v>
      </c>
      <c r="B17" s="3">
        <v>45457</v>
      </c>
      <c r="C17">
        <v>40.55</v>
      </c>
      <c r="D17">
        <v>42.5</v>
      </c>
      <c r="E17">
        <v>40.52</v>
      </c>
      <c r="F17">
        <v>42.26</v>
      </c>
      <c r="G17">
        <v>40.84</v>
      </c>
      <c r="H17">
        <v>1.42</v>
      </c>
      <c r="I17">
        <v>3.477</v>
      </c>
      <c r="J17">
        <v>578390.96</v>
      </c>
      <c r="K17">
        <v>2414482.719</v>
      </c>
      <c r="L17" t="s">
        <v>103</v>
      </c>
      <c r="M17" t="s">
        <v>104</v>
      </c>
      <c r="N17" s="3">
        <v>45527</v>
      </c>
      <c r="O17">
        <v>16</v>
      </c>
      <c r="P17">
        <v>66</v>
      </c>
      <c r="Q17">
        <v>-50</v>
      </c>
      <c r="R17" t="s">
        <v>105</v>
      </c>
    </row>
    <row r="18" spans="1:18">
      <c r="A18" t="s">
        <v>48</v>
      </c>
      <c r="B18" s="3">
        <v>45460</v>
      </c>
      <c r="C18">
        <v>42.18</v>
      </c>
      <c r="D18">
        <v>42.2</v>
      </c>
      <c r="E18">
        <v>41.42</v>
      </c>
      <c r="F18">
        <v>41.75</v>
      </c>
      <c r="G18">
        <v>42.26</v>
      </c>
      <c r="H18">
        <v>-0.51</v>
      </c>
      <c r="I18">
        <v>-1.2068</v>
      </c>
      <c r="J18">
        <v>354873.91</v>
      </c>
      <c r="K18">
        <v>1483118.397</v>
      </c>
      <c r="L18" t="s">
        <v>103</v>
      </c>
      <c r="M18" t="s">
        <v>104</v>
      </c>
      <c r="N18" s="3">
        <v>45527</v>
      </c>
      <c r="O18">
        <v>17</v>
      </c>
      <c r="P18">
        <v>66</v>
      </c>
      <c r="Q18">
        <v>-49</v>
      </c>
      <c r="R18" t="s">
        <v>105</v>
      </c>
    </row>
    <row r="19" spans="1:18">
      <c r="A19" t="s">
        <v>48</v>
      </c>
      <c r="B19" s="3">
        <v>45461</v>
      </c>
      <c r="C19">
        <v>41.58</v>
      </c>
      <c r="D19">
        <v>43.5</v>
      </c>
      <c r="E19">
        <v>41.51</v>
      </c>
      <c r="F19">
        <v>42.69</v>
      </c>
      <c r="G19">
        <v>41.75</v>
      </c>
      <c r="H19">
        <v>0.94</v>
      </c>
      <c r="I19">
        <v>2.2515</v>
      </c>
      <c r="J19">
        <v>490592.57</v>
      </c>
      <c r="K19">
        <v>2098045.418</v>
      </c>
      <c r="L19" t="s">
        <v>103</v>
      </c>
      <c r="M19" t="s">
        <v>104</v>
      </c>
      <c r="N19" s="3">
        <v>45527</v>
      </c>
      <c r="O19">
        <v>18</v>
      </c>
      <c r="P19">
        <v>66</v>
      </c>
      <c r="Q19">
        <v>-48</v>
      </c>
      <c r="R19" t="s">
        <v>105</v>
      </c>
    </row>
    <row r="20" spans="1:18">
      <c r="A20" t="s">
        <v>48</v>
      </c>
      <c r="B20" s="3">
        <v>45462</v>
      </c>
      <c r="C20">
        <v>42.74</v>
      </c>
      <c r="D20">
        <v>43.65</v>
      </c>
      <c r="E20">
        <v>42.52</v>
      </c>
      <c r="F20">
        <v>42.52</v>
      </c>
      <c r="G20">
        <v>42.69</v>
      </c>
      <c r="H20">
        <v>-0.17</v>
      </c>
      <c r="I20">
        <v>-0.3982</v>
      </c>
      <c r="J20">
        <v>431983.55</v>
      </c>
      <c r="K20">
        <v>1857837.927</v>
      </c>
      <c r="L20" t="s">
        <v>103</v>
      </c>
      <c r="M20" t="s">
        <v>104</v>
      </c>
      <c r="N20" s="3">
        <v>45527</v>
      </c>
      <c r="O20">
        <v>19</v>
      </c>
      <c r="P20">
        <v>66</v>
      </c>
      <c r="Q20">
        <v>-47</v>
      </c>
      <c r="R20" t="s">
        <v>105</v>
      </c>
    </row>
    <row r="21" spans="1:18">
      <c r="A21" t="s">
        <v>48</v>
      </c>
      <c r="B21" s="3">
        <v>45463</v>
      </c>
      <c r="C21">
        <v>42.04</v>
      </c>
      <c r="D21">
        <v>42.05</v>
      </c>
      <c r="E21">
        <v>40.96</v>
      </c>
      <c r="F21">
        <v>40.97</v>
      </c>
      <c r="G21">
        <v>42.52</v>
      </c>
      <c r="H21">
        <v>-1.55</v>
      </c>
      <c r="I21">
        <v>-3.6453</v>
      </c>
      <c r="J21">
        <v>402183.84</v>
      </c>
      <c r="K21">
        <v>1663616.433</v>
      </c>
      <c r="L21" t="s">
        <v>103</v>
      </c>
      <c r="M21" t="s">
        <v>104</v>
      </c>
      <c r="N21" s="3">
        <v>45527</v>
      </c>
      <c r="O21">
        <v>20</v>
      </c>
      <c r="P21">
        <v>66</v>
      </c>
      <c r="Q21">
        <v>-46</v>
      </c>
      <c r="R21" t="s">
        <v>105</v>
      </c>
    </row>
    <row r="22" spans="1:18">
      <c r="A22" t="s">
        <v>48</v>
      </c>
      <c r="B22" s="3">
        <v>45464</v>
      </c>
      <c r="C22">
        <v>40.54</v>
      </c>
      <c r="D22">
        <v>41.43</v>
      </c>
      <c r="E22">
        <v>40.12</v>
      </c>
      <c r="F22">
        <v>41.26</v>
      </c>
      <c r="G22">
        <v>40.97</v>
      </c>
      <c r="H22">
        <v>0.29</v>
      </c>
      <c r="I22">
        <v>0.7078</v>
      </c>
      <c r="J22">
        <v>262076.47</v>
      </c>
      <c r="K22">
        <v>1070828.741</v>
      </c>
      <c r="L22" t="s">
        <v>103</v>
      </c>
      <c r="M22" t="s">
        <v>104</v>
      </c>
      <c r="N22" s="3">
        <v>45527</v>
      </c>
      <c r="O22">
        <v>21</v>
      </c>
      <c r="P22">
        <v>66</v>
      </c>
      <c r="Q22">
        <v>-45</v>
      </c>
      <c r="R22" t="s">
        <v>105</v>
      </c>
    </row>
    <row r="23" spans="1:18">
      <c r="A23" t="s">
        <v>48</v>
      </c>
      <c r="B23" s="3">
        <v>45467</v>
      </c>
      <c r="C23">
        <v>41</v>
      </c>
      <c r="D23">
        <v>41.21</v>
      </c>
      <c r="E23">
        <v>39.65</v>
      </c>
      <c r="F23">
        <v>39.76</v>
      </c>
      <c r="G23">
        <v>41.26</v>
      </c>
      <c r="H23">
        <v>-1.5</v>
      </c>
      <c r="I23">
        <v>-3.6355</v>
      </c>
      <c r="J23">
        <v>266520.49</v>
      </c>
      <c r="K23">
        <v>1077368.111</v>
      </c>
      <c r="L23" t="s">
        <v>103</v>
      </c>
      <c r="M23" t="s">
        <v>104</v>
      </c>
      <c r="N23" s="3">
        <v>45527</v>
      </c>
      <c r="O23">
        <v>22</v>
      </c>
      <c r="P23">
        <v>66</v>
      </c>
      <c r="Q23">
        <v>-44</v>
      </c>
      <c r="R23" t="s">
        <v>105</v>
      </c>
    </row>
    <row r="24" spans="1:18">
      <c r="A24" t="s">
        <v>48</v>
      </c>
      <c r="B24" s="3">
        <v>45468</v>
      </c>
      <c r="C24">
        <v>39.8</v>
      </c>
      <c r="D24">
        <v>39.87</v>
      </c>
      <c r="E24">
        <v>38.01</v>
      </c>
      <c r="F24">
        <v>38.49</v>
      </c>
      <c r="G24">
        <v>39.76</v>
      </c>
      <c r="H24">
        <v>-1.27</v>
      </c>
      <c r="I24">
        <v>-3.1942</v>
      </c>
      <c r="J24">
        <v>326723.67</v>
      </c>
      <c r="K24">
        <v>1269020.65</v>
      </c>
      <c r="L24" t="s">
        <v>103</v>
      </c>
      <c r="M24" t="s">
        <v>104</v>
      </c>
      <c r="N24" s="3">
        <v>45527</v>
      </c>
      <c r="O24">
        <v>23</v>
      </c>
      <c r="P24">
        <v>66</v>
      </c>
      <c r="Q24">
        <v>-43</v>
      </c>
      <c r="R24" t="s">
        <v>105</v>
      </c>
    </row>
    <row r="25" spans="1:18">
      <c r="A25" t="s">
        <v>48</v>
      </c>
      <c r="B25" s="3">
        <v>45469</v>
      </c>
      <c r="C25">
        <v>38.5</v>
      </c>
      <c r="D25">
        <v>42.08</v>
      </c>
      <c r="E25">
        <v>38.46</v>
      </c>
      <c r="F25">
        <v>41.83</v>
      </c>
      <c r="G25">
        <v>38.49</v>
      </c>
      <c r="H25">
        <v>3.34</v>
      </c>
      <c r="I25">
        <v>8.6776</v>
      </c>
      <c r="J25">
        <v>508692.53</v>
      </c>
      <c r="K25">
        <v>2050299.269</v>
      </c>
      <c r="L25" t="s">
        <v>103</v>
      </c>
      <c r="M25" t="s">
        <v>104</v>
      </c>
      <c r="N25" s="3">
        <v>45527</v>
      </c>
      <c r="O25">
        <v>24</v>
      </c>
      <c r="P25">
        <v>66</v>
      </c>
      <c r="Q25">
        <v>-42</v>
      </c>
      <c r="R25" t="s">
        <v>105</v>
      </c>
    </row>
    <row r="26" spans="1:18">
      <c r="A26" t="s">
        <v>48</v>
      </c>
      <c r="B26" s="3">
        <v>45470</v>
      </c>
      <c r="C26">
        <v>41.55</v>
      </c>
      <c r="D26">
        <v>42.07</v>
      </c>
      <c r="E26">
        <v>41.02</v>
      </c>
      <c r="F26">
        <v>41.08</v>
      </c>
      <c r="G26">
        <v>41.83</v>
      </c>
      <c r="H26">
        <v>-0.75</v>
      </c>
      <c r="I26">
        <v>-1.793</v>
      </c>
      <c r="J26">
        <v>410631.52</v>
      </c>
      <c r="K26">
        <v>1708310.958</v>
      </c>
      <c r="L26" t="s">
        <v>103</v>
      </c>
      <c r="M26" t="s">
        <v>104</v>
      </c>
      <c r="N26" s="3">
        <v>45527</v>
      </c>
      <c r="O26">
        <v>25</v>
      </c>
      <c r="P26">
        <v>66</v>
      </c>
      <c r="Q26">
        <v>-41</v>
      </c>
      <c r="R26" t="s">
        <v>105</v>
      </c>
    </row>
    <row r="27" spans="1:18">
      <c r="A27" t="s">
        <v>48</v>
      </c>
      <c r="B27" s="3">
        <v>45471</v>
      </c>
      <c r="C27">
        <v>40.81</v>
      </c>
      <c r="D27">
        <v>42.21</v>
      </c>
      <c r="E27">
        <v>40.75</v>
      </c>
      <c r="F27">
        <v>41.5</v>
      </c>
      <c r="G27">
        <v>41.08</v>
      </c>
      <c r="H27">
        <v>0.42</v>
      </c>
      <c r="I27">
        <v>1.0224</v>
      </c>
      <c r="J27">
        <v>398836.78</v>
      </c>
      <c r="K27">
        <v>1662575.113</v>
      </c>
      <c r="L27" t="s">
        <v>103</v>
      </c>
      <c r="M27" t="s">
        <v>104</v>
      </c>
      <c r="N27" s="3">
        <v>45527</v>
      </c>
      <c r="O27">
        <v>26</v>
      </c>
      <c r="P27">
        <v>66</v>
      </c>
      <c r="Q27">
        <v>-40</v>
      </c>
      <c r="R27" t="s">
        <v>105</v>
      </c>
    </row>
    <row r="28" spans="1:18">
      <c r="A28" t="s">
        <v>48</v>
      </c>
      <c r="B28" s="3">
        <v>45474</v>
      </c>
      <c r="C28">
        <v>41.45</v>
      </c>
      <c r="D28">
        <v>41.79</v>
      </c>
      <c r="E28">
        <v>40.29</v>
      </c>
      <c r="F28">
        <v>41.43</v>
      </c>
      <c r="G28">
        <v>41.5</v>
      </c>
      <c r="H28">
        <v>-0.07</v>
      </c>
      <c r="I28">
        <v>-0.1687</v>
      </c>
      <c r="J28">
        <v>349275.65</v>
      </c>
      <c r="K28">
        <v>1436972.1</v>
      </c>
      <c r="L28" t="s">
        <v>103</v>
      </c>
      <c r="M28" t="s">
        <v>104</v>
      </c>
      <c r="N28" s="3">
        <v>45527</v>
      </c>
      <c r="O28">
        <v>27</v>
      </c>
      <c r="P28">
        <v>66</v>
      </c>
      <c r="Q28">
        <v>-39</v>
      </c>
      <c r="R28" t="s">
        <v>105</v>
      </c>
    </row>
    <row r="29" spans="1:18">
      <c r="A29" t="s">
        <v>48</v>
      </c>
      <c r="B29" s="3">
        <v>45475</v>
      </c>
      <c r="C29">
        <v>41.16</v>
      </c>
      <c r="D29">
        <v>41.64</v>
      </c>
      <c r="E29">
        <v>40.26</v>
      </c>
      <c r="F29">
        <v>40.59</v>
      </c>
      <c r="G29">
        <v>41.43</v>
      </c>
      <c r="H29">
        <v>-0.84</v>
      </c>
      <c r="I29">
        <v>-2.0275</v>
      </c>
      <c r="J29">
        <v>263648.4</v>
      </c>
      <c r="K29">
        <v>1080910.25</v>
      </c>
      <c r="L29" t="s">
        <v>103</v>
      </c>
      <c r="M29" t="s">
        <v>104</v>
      </c>
      <c r="N29" s="3">
        <v>45527</v>
      </c>
      <c r="O29">
        <v>28</v>
      </c>
      <c r="P29">
        <v>66</v>
      </c>
      <c r="Q29">
        <v>-38</v>
      </c>
      <c r="R29" t="s">
        <v>105</v>
      </c>
    </row>
    <row r="30" spans="1:18">
      <c r="A30" t="s">
        <v>48</v>
      </c>
      <c r="B30" s="3">
        <v>45476</v>
      </c>
      <c r="C30">
        <v>40.56</v>
      </c>
      <c r="D30">
        <v>40.63</v>
      </c>
      <c r="E30">
        <v>39.43</v>
      </c>
      <c r="F30">
        <v>40.01</v>
      </c>
      <c r="G30">
        <v>40.59</v>
      </c>
      <c r="H30">
        <v>-0.58</v>
      </c>
      <c r="I30">
        <v>-1.4289</v>
      </c>
      <c r="J30">
        <v>228141.34</v>
      </c>
      <c r="K30">
        <v>912153.949</v>
      </c>
      <c r="L30" t="s">
        <v>103</v>
      </c>
      <c r="M30" t="s">
        <v>104</v>
      </c>
      <c r="N30" s="3">
        <v>45527</v>
      </c>
      <c r="O30">
        <v>29</v>
      </c>
      <c r="P30">
        <v>66</v>
      </c>
      <c r="Q30">
        <v>-37</v>
      </c>
      <c r="R30" t="s">
        <v>105</v>
      </c>
    </row>
    <row r="31" spans="1:18">
      <c r="A31" t="s">
        <v>48</v>
      </c>
      <c r="B31" s="3">
        <v>45477</v>
      </c>
      <c r="C31">
        <v>40.46</v>
      </c>
      <c r="D31">
        <v>40.47</v>
      </c>
      <c r="E31">
        <v>39.16</v>
      </c>
      <c r="F31">
        <v>39.2</v>
      </c>
      <c r="G31">
        <v>40.01</v>
      </c>
      <c r="H31">
        <v>-0.81</v>
      </c>
      <c r="I31">
        <v>-2.0245</v>
      </c>
      <c r="J31">
        <v>212574.86</v>
      </c>
      <c r="K31">
        <v>841524.363</v>
      </c>
      <c r="L31" t="s">
        <v>103</v>
      </c>
      <c r="M31" t="s">
        <v>104</v>
      </c>
      <c r="N31" s="3">
        <v>45527</v>
      </c>
      <c r="O31">
        <v>30</v>
      </c>
      <c r="P31">
        <v>66</v>
      </c>
      <c r="Q31">
        <v>-36</v>
      </c>
      <c r="R31" t="s">
        <v>105</v>
      </c>
    </row>
    <row r="32" spans="1:18">
      <c r="A32" t="s">
        <v>48</v>
      </c>
      <c r="B32" s="3">
        <v>45478</v>
      </c>
      <c r="C32">
        <v>39.3</v>
      </c>
      <c r="D32">
        <v>40.38</v>
      </c>
      <c r="E32">
        <v>39.22</v>
      </c>
      <c r="F32">
        <v>39.68</v>
      </c>
      <c r="G32">
        <v>39.2</v>
      </c>
      <c r="H32">
        <v>0.48</v>
      </c>
      <c r="I32">
        <v>1.2245</v>
      </c>
      <c r="J32">
        <v>290516.4</v>
      </c>
      <c r="K32">
        <v>1155064.516</v>
      </c>
      <c r="L32" t="s">
        <v>103</v>
      </c>
      <c r="M32" t="s">
        <v>104</v>
      </c>
      <c r="N32" s="3">
        <v>45527</v>
      </c>
      <c r="O32">
        <v>31</v>
      </c>
      <c r="P32">
        <v>66</v>
      </c>
      <c r="Q32">
        <v>-35</v>
      </c>
      <c r="R32" t="s">
        <v>105</v>
      </c>
    </row>
    <row r="33" spans="1:18">
      <c r="A33" t="s">
        <v>48</v>
      </c>
      <c r="B33" s="3">
        <v>45481</v>
      </c>
      <c r="C33">
        <v>39.55</v>
      </c>
      <c r="D33">
        <v>39.56</v>
      </c>
      <c r="E33">
        <v>38.5</v>
      </c>
      <c r="F33">
        <v>38.75</v>
      </c>
      <c r="G33">
        <v>39.68</v>
      </c>
      <c r="H33">
        <v>-0.93</v>
      </c>
      <c r="I33">
        <v>-2.3438</v>
      </c>
      <c r="J33">
        <v>256538.65</v>
      </c>
      <c r="K33">
        <v>997951.322</v>
      </c>
      <c r="L33" t="s">
        <v>103</v>
      </c>
      <c r="M33" t="s">
        <v>104</v>
      </c>
      <c r="N33" s="3">
        <v>45527</v>
      </c>
      <c r="O33">
        <v>32</v>
      </c>
      <c r="P33">
        <v>66</v>
      </c>
      <c r="Q33">
        <v>-34</v>
      </c>
      <c r="R33" t="s">
        <v>105</v>
      </c>
    </row>
    <row r="34" spans="1:18">
      <c r="A34" t="s">
        <v>48</v>
      </c>
      <c r="B34" s="3">
        <v>45482</v>
      </c>
      <c r="C34">
        <v>38.8</v>
      </c>
      <c r="D34">
        <v>40.55</v>
      </c>
      <c r="E34">
        <v>38.38</v>
      </c>
      <c r="F34">
        <v>40.4</v>
      </c>
      <c r="G34">
        <v>38.75</v>
      </c>
      <c r="H34">
        <v>1.65</v>
      </c>
      <c r="I34">
        <v>4.2581</v>
      </c>
      <c r="J34">
        <v>446487.2</v>
      </c>
      <c r="K34">
        <v>1777902.616</v>
      </c>
      <c r="L34" t="s">
        <v>103</v>
      </c>
      <c r="M34" t="s">
        <v>104</v>
      </c>
      <c r="N34" s="3">
        <v>45527</v>
      </c>
      <c r="O34">
        <v>33</v>
      </c>
      <c r="P34">
        <v>66</v>
      </c>
      <c r="Q34">
        <v>-33</v>
      </c>
      <c r="R34" t="s">
        <v>105</v>
      </c>
    </row>
    <row r="35" spans="1:18">
      <c r="A35" t="s">
        <v>48</v>
      </c>
      <c r="B35" s="3">
        <v>45483</v>
      </c>
      <c r="C35">
        <v>40.1</v>
      </c>
      <c r="D35">
        <v>40.62</v>
      </c>
      <c r="E35">
        <v>40.02</v>
      </c>
      <c r="F35">
        <v>40.15</v>
      </c>
      <c r="G35">
        <v>40.4</v>
      </c>
      <c r="H35">
        <v>-0.25</v>
      </c>
      <c r="I35">
        <v>-0.6188</v>
      </c>
      <c r="J35">
        <v>258709.09</v>
      </c>
      <c r="K35">
        <v>1042803.227</v>
      </c>
      <c r="L35" t="s">
        <v>103</v>
      </c>
      <c r="M35" t="s">
        <v>104</v>
      </c>
      <c r="N35" s="3">
        <v>45527</v>
      </c>
      <c r="O35">
        <v>34</v>
      </c>
      <c r="P35">
        <v>66</v>
      </c>
      <c r="Q35">
        <v>-32</v>
      </c>
      <c r="R35" t="s">
        <v>105</v>
      </c>
    </row>
    <row r="36" spans="1:18">
      <c r="A36" t="s">
        <v>48</v>
      </c>
      <c r="B36" s="3">
        <v>45484</v>
      </c>
      <c r="C36">
        <v>40.96</v>
      </c>
      <c r="D36">
        <v>41.25</v>
      </c>
      <c r="E36">
        <v>40.17</v>
      </c>
      <c r="F36">
        <v>41.24</v>
      </c>
      <c r="G36">
        <v>40.15</v>
      </c>
      <c r="H36">
        <v>1.09</v>
      </c>
      <c r="I36">
        <v>2.7148</v>
      </c>
      <c r="J36">
        <v>439476.2</v>
      </c>
      <c r="K36">
        <v>1789410.825</v>
      </c>
      <c r="L36" t="s">
        <v>103</v>
      </c>
      <c r="M36" t="s">
        <v>104</v>
      </c>
      <c r="N36" s="3">
        <v>45527</v>
      </c>
      <c r="O36">
        <v>35</v>
      </c>
      <c r="P36">
        <v>66</v>
      </c>
      <c r="Q36">
        <v>-31</v>
      </c>
      <c r="R36" t="s">
        <v>105</v>
      </c>
    </row>
    <row r="37" spans="1:18">
      <c r="A37" t="s">
        <v>48</v>
      </c>
      <c r="B37" s="3">
        <v>45485</v>
      </c>
      <c r="C37">
        <v>40.92</v>
      </c>
      <c r="D37">
        <v>40.92</v>
      </c>
      <c r="E37">
        <v>40.21</v>
      </c>
      <c r="F37">
        <v>40.42</v>
      </c>
      <c r="G37">
        <v>41.24</v>
      </c>
      <c r="H37">
        <v>-0.82</v>
      </c>
      <c r="I37">
        <v>-1.9884</v>
      </c>
      <c r="J37">
        <v>253144.45</v>
      </c>
      <c r="K37">
        <v>1025799.875</v>
      </c>
      <c r="L37" t="s">
        <v>103</v>
      </c>
      <c r="M37" t="s">
        <v>104</v>
      </c>
      <c r="N37" s="3">
        <v>45527</v>
      </c>
      <c r="O37">
        <v>36</v>
      </c>
      <c r="P37">
        <v>66</v>
      </c>
      <c r="Q37">
        <v>-30</v>
      </c>
      <c r="R37" t="s">
        <v>105</v>
      </c>
    </row>
    <row r="38" spans="1:18">
      <c r="A38" t="s">
        <v>48</v>
      </c>
      <c r="B38" s="3">
        <v>45488</v>
      </c>
      <c r="C38">
        <v>40.15</v>
      </c>
      <c r="D38">
        <v>40.7</v>
      </c>
      <c r="E38">
        <v>39.83</v>
      </c>
      <c r="F38">
        <v>40.28</v>
      </c>
      <c r="G38">
        <v>40.42</v>
      </c>
      <c r="H38">
        <v>-0.14</v>
      </c>
      <c r="I38">
        <v>-0.3464</v>
      </c>
      <c r="J38">
        <v>183646.69</v>
      </c>
      <c r="K38">
        <v>738882.698</v>
      </c>
      <c r="L38" t="s">
        <v>103</v>
      </c>
      <c r="M38" t="s">
        <v>104</v>
      </c>
      <c r="N38" s="3">
        <v>45527</v>
      </c>
      <c r="O38">
        <v>37</v>
      </c>
      <c r="P38">
        <v>66</v>
      </c>
      <c r="Q38">
        <v>-29</v>
      </c>
      <c r="R38" t="s">
        <v>105</v>
      </c>
    </row>
    <row r="39" spans="1:18">
      <c r="A39" t="s">
        <v>48</v>
      </c>
      <c r="B39" s="3">
        <v>45489</v>
      </c>
      <c r="C39">
        <v>40.06</v>
      </c>
      <c r="D39">
        <v>42.92</v>
      </c>
      <c r="E39">
        <v>39.91</v>
      </c>
      <c r="F39">
        <v>42.3</v>
      </c>
      <c r="G39">
        <v>40.28</v>
      </c>
      <c r="H39">
        <v>2.02</v>
      </c>
      <c r="I39">
        <v>5.0149</v>
      </c>
      <c r="J39">
        <v>697329.68</v>
      </c>
      <c r="K39">
        <v>2911443.984</v>
      </c>
      <c r="L39" t="s">
        <v>103</v>
      </c>
      <c r="M39" t="s">
        <v>104</v>
      </c>
      <c r="N39" s="3">
        <v>45527</v>
      </c>
      <c r="O39">
        <v>38</v>
      </c>
      <c r="P39">
        <v>66</v>
      </c>
      <c r="Q39">
        <v>-28</v>
      </c>
      <c r="R39" t="s">
        <v>105</v>
      </c>
    </row>
    <row r="40" spans="1:18">
      <c r="A40" t="s">
        <v>48</v>
      </c>
      <c r="B40" s="3">
        <v>45490</v>
      </c>
      <c r="C40">
        <v>42.06</v>
      </c>
      <c r="D40">
        <v>43.29</v>
      </c>
      <c r="E40">
        <v>41.78</v>
      </c>
      <c r="F40">
        <v>41.85</v>
      </c>
      <c r="G40">
        <v>42.3</v>
      </c>
      <c r="H40">
        <v>-0.45</v>
      </c>
      <c r="I40">
        <v>-1.0638</v>
      </c>
      <c r="J40">
        <v>541306.81</v>
      </c>
      <c r="K40">
        <v>2302099.274</v>
      </c>
      <c r="L40" t="s">
        <v>103</v>
      </c>
      <c r="M40" t="s">
        <v>104</v>
      </c>
      <c r="N40" s="3">
        <v>45527</v>
      </c>
      <c r="O40">
        <v>39</v>
      </c>
      <c r="P40">
        <v>66</v>
      </c>
      <c r="Q40">
        <v>-27</v>
      </c>
      <c r="R40" t="s">
        <v>105</v>
      </c>
    </row>
    <row r="41" spans="1:18">
      <c r="A41" t="s">
        <v>48</v>
      </c>
      <c r="B41" s="3">
        <v>45491</v>
      </c>
      <c r="C41">
        <v>41.31</v>
      </c>
      <c r="D41">
        <v>41.7</v>
      </c>
      <c r="E41">
        <v>39.88</v>
      </c>
      <c r="F41">
        <v>41.23</v>
      </c>
      <c r="G41">
        <v>41.85</v>
      </c>
      <c r="H41">
        <v>-0.62</v>
      </c>
      <c r="I41">
        <v>-1.4815</v>
      </c>
      <c r="J41">
        <v>497394.75</v>
      </c>
      <c r="K41">
        <v>2027257.251</v>
      </c>
      <c r="L41" t="s">
        <v>103</v>
      </c>
      <c r="M41" t="s">
        <v>104</v>
      </c>
      <c r="N41" s="3">
        <v>45527</v>
      </c>
      <c r="O41">
        <v>40</v>
      </c>
      <c r="P41">
        <v>66</v>
      </c>
      <c r="Q41">
        <v>-26</v>
      </c>
      <c r="R41" t="s">
        <v>105</v>
      </c>
    </row>
    <row r="42" spans="1:18">
      <c r="A42" t="s">
        <v>48</v>
      </c>
      <c r="B42" s="3">
        <v>45492</v>
      </c>
      <c r="C42">
        <v>41.01</v>
      </c>
      <c r="D42">
        <v>44.18</v>
      </c>
      <c r="E42">
        <v>41.01</v>
      </c>
      <c r="F42">
        <v>43.52</v>
      </c>
      <c r="G42">
        <v>41.23</v>
      </c>
      <c r="H42">
        <v>2.29</v>
      </c>
      <c r="I42">
        <v>5.5542</v>
      </c>
      <c r="J42">
        <v>884491.68</v>
      </c>
      <c r="K42">
        <v>3823588.925</v>
      </c>
      <c r="L42" t="s">
        <v>103</v>
      </c>
      <c r="M42" t="s">
        <v>104</v>
      </c>
      <c r="N42" s="3">
        <v>45527</v>
      </c>
      <c r="O42">
        <v>41</v>
      </c>
      <c r="P42">
        <v>66</v>
      </c>
      <c r="Q42">
        <v>-25</v>
      </c>
      <c r="R42" t="s">
        <v>105</v>
      </c>
    </row>
    <row r="43" spans="1:18">
      <c r="A43" t="s">
        <v>48</v>
      </c>
      <c r="B43" s="3">
        <v>45495</v>
      </c>
      <c r="C43">
        <v>44.16</v>
      </c>
      <c r="D43">
        <v>45.51</v>
      </c>
      <c r="E43">
        <v>43.56</v>
      </c>
      <c r="F43">
        <v>44.43</v>
      </c>
      <c r="G43">
        <v>43.52</v>
      </c>
      <c r="H43">
        <v>0.91</v>
      </c>
      <c r="I43">
        <v>2.091</v>
      </c>
      <c r="J43">
        <v>909672.14</v>
      </c>
      <c r="K43">
        <v>4049871.695</v>
      </c>
      <c r="L43" t="s">
        <v>103</v>
      </c>
      <c r="M43" t="s">
        <v>104</v>
      </c>
      <c r="N43" s="3">
        <v>45527</v>
      </c>
      <c r="O43">
        <v>42</v>
      </c>
      <c r="P43">
        <v>66</v>
      </c>
      <c r="Q43">
        <v>-24</v>
      </c>
      <c r="R43" t="s">
        <v>105</v>
      </c>
    </row>
    <row r="44" spans="1:18">
      <c r="A44" t="s">
        <v>48</v>
      </c>
      <c r="B44" s="3">
        <v>45496</v>
      </c>
      <c r="C44">
        <v>44.63</v>
      </c>
      <c r="D44">
        <v>45.19</v>
      </c>
      <c r="E44">
        <v>43</v>
      </c>
      <c r="F44">
        <v>43.1</v>
      </c>
      <c r="G44">
        <v>44.43</v>
      </c>
      <c r="H44">
        <v>-1.33</v>
      </c>
      <c r="I44">
        <v>-2.9935</v>
      </c>
      <c r="J44">
        <v>646153.34</v>
      </c>
      <c r="K44">
        <v>2848343.264</v>
      </c>
      <c r="L44" t="s">
        <v>103</v>
      </c>
      <c r="M44" t="s">
        <v>104</v>
      </c>
      <c r="N44" s="3">
        <v>45527</v>
      </c>
      <c r="O44">
        <v>43</v>
      </c>
      <c r="P44">
        <v>66</v>
      </c>
      <c r="Q44">
        <v>-23</v>
      </c>
      <c r="R44" t="s">
        <v>105</v>
      </c>
    </row>
    <row r="45" spans="1:18">
      <c r="A45" t="s">
        <v>48</v>
      </c>
      <c r="B45" s="3">
        <v>45497</v>
      </c>
      <c r="C45">
        <v>43.06</v>
      </c>
      <c r="D45">
        <v>44.56</v>
      </c>
      <c r="E45">
        <v>43.06</v>
      </c>
      <c r="F45">
        <v>43.49</v>
      </c>
      <c r="G45">
        <v>43.1</v>
      </c>
      <c r="H45">
        <v>0.39</v>
      </c>
      <c r="I45">
        <v>0.9049</v>
      </c>
      <c r="J45">
        <v>597544.53</v>
      </c>
      <c r="K45">
        <v>2620415.764</v>
      </c>
      <c r="L45" t="s">
        <v>103</v>
      </c>
      <c r="M45" t="s">
        <v>104</v>
      </c>
      <c r="N45" s="3">
        <v>45527</v>
      </c>
      <c r="O45">
        <v>44</v>
      </c>
      <c r="P45">
        <v>66</v>
      </c>
      <c r="Q45">
        <v>-22</v>
      </c>
      <c r="R45" t="s">
        <v>105</v>
      </c>
    </row>
    <row r="46" spans="1:18">
      <c r="A46" t="s">
        <v>48</v>
      </c>
      <c r="B46" s="3">
        <v>45498</v>
      </c>
      <c r="C46">
        <v>42.81</v>
      </c>
      <c r="D46">
        <v>44.28</v>
      </c>
      <c r="E46">
        <v>42.7</v>
      </c>
      <c r="F46">
        <v>43.54</v>
      </c>
      <c r="G46">
        <v>43.49</v>
      </c>
      <c r="H46">
        <v>0.05</v>
      </c>
      <c r="I46">
        <v>0.115</v>
      </c>
      <c r="J46">
        <v>518740.15</v>
      </c>
      <c r="K46">
        <v>2264932.345</v>
      </c>
      <c r="L46" t="s">
        <v>103</v>
      </c>
      <c r="M46" t="s">
        <v>104</v>
      </c>
      <c r="N46" s="3">
        <v>45527</v>
      </c>
      <c r="O46">
        <v>45</v>
      </c>
      <c r="P46">
        <v>66</v>
      </c>
      <c r="Q46">
        <v>-21</v>
      </c>
      <c r="R46" t="s">
        <v>105</v>
      </c>
    </row>
    <row r="47" spans="1:18">
      <c r="A47" t="s">
        <v>48</v>
      </c>
      <c r="B47" s="3">
        <v>45499</v>
      </c>
      <c r="C47">
        <v>43.21</v>
      </c>
      <c r="D47">
        <v>43.81</v>
      </c>
      <c r="E47">
        <v>41.93</v>
      </c>
      <c r="F47">
        <v>42.89</v>
      </c>
      <c r="G47">
        <v>43.54</v>
      </c>
      <c r="H47">
        <v>-0.65</v>
      </c>
      <c r="I47">
        <v>-1.4929</v>
      </c>
      <c r="J47">
        <v>528974.88</v>
      </c>
      <c r="K47">
        <v>2263609.017</v>
      </c>
      <c r="L47" t="s">
        <v>103</v>
      </c>
      <c r="M47" t="s">
        <v>104</v>
      </c>
      <c r="N47" s="3">
        <v>45527</v>
      </c>
      <c r="O47">
        <v>46</v>
      </c>
      <c r="P47">
        <v>66</v>
      </c>
      <c r="Q47">
        <v>-20</v>
      </c>
      <c r="R47" t="s">
        <v>105</v>
      </c>
    </row>
    <row r="48" spans="1:18">
      <c r="A48" t="s">
        <v>48</v>
      </c>
      <c r="B48" s="3">
        <v>45502</v>
      </c>
      <c r="C48">
        <v>42.91</v>
      </c>
      <c r="D48">
        <v>42.98</v>
      </c>
      <c r="E48">
        <v>42</v>
      </c>
      <c r="F48">
        <v>42</v>
      </c>
      <c r="G48">
        <v>42.89</v>
      </c>
      <c r="H48">
        <v>-0.89</v>
      </c>
      <c r="I48">
        <v>-2.0751</v>
      </c>
      <c r="J48">
        <v>327595.9</v>
      </c>
      <c r="K48">
        <v>1386303.899</v>
      </c>
      <c r="L48" t="s">
        <v>103</v>
      </c>
      <c r="M48" t="s">
        <v>104</v>
      </c>
      <c r="N48" s="3">
        <v>45527</v>
      </c>
      <c r="O48">
        <v>47</v>
      </c>
      <c r="P48">
        <v>66</v>
      </c>
      <c r="Q48">
        <v>-19</v>
      </c>
      <c r="R48" t="s">
        <v>105</v>
      </c>
    </row>
    <row r="49" spans="1:18">
      <c r="A49" t="s">
        <v>48</v>
      </c>
      <c r="B49" s="3">
        <v>45503</v>
      </c>
      <c r="C49">
        <v>41.53</v>
      </c>
      <c r="D49">
        <v>42</v>
      </c>
      <c r="E49">
        <v>40.77</v>
      </c>
      <c r="F49">
        <v>42</v>
      </c>
      <c r="G49">
        <v>42</v>
      </c>
      <c r="H49">
        <v>0</v>
      </c>
      <c r="I49">
        <v>0</v>
      </c>
      <c r="J49">
        <v>342285.07</v>
      </c>
      <c r="K49">
        <v>1416732.09</v>
      </c>
      <c r="L49" t="s">
        <v>103</v>
      </c>
      <c r="M49" t="s">
        <v>104</v>
      </c>
      <c r="N49" s="3">
        <v>45527</v>
      </c>
      <c r="O49">
        <v>48</v>
      </c>
      <c r="P49">
        <v>66</v>
      </c>
      <c r="Q49">
        <v>-18</v>
      </c>
      <c r="R49" t="s">
        <v>105</v>
      </c>
    </row>
    <row r="50" spans="1:18">
      <c r="A50" t="s">
        <v>48</v>
      </c>
      <c r="B50" s="3">
        <v>45504</v>
      </c>
      <c r="C50">
        <v>41.79</v>
      </c>
      <c r="D50">
        <v>43.9</v>
      </c>
      <c r="E50">
        <v>41.68</v>
      </c>
      <c r="F50">
        <v>43.9</v>
      </c>
      <c r="G50">
        <v>42</v>
      </c>
      <c r="H50">
        <v>1.9</v>
      </c>
      <c r="I50">
        <v>4.5238</v>
      </c>
      <c r="J50">
        <v>533690.69</v>
      </c>
      <c r="K50">
        <v>2306905.82</v>
      </c>
      <c r="L50" t="s">
        <v>103</v>
      </c>
      <c r="M50" t="s">
        <v>104</v>
      </c>
      <c r="N50" s="3">
        <v>45527</v>
      </c>
      <c r="O50">
        <v>49</v>
      </c>
      <c r="P50">
        <v>66</v>
      </c>
      <c r="Q50">
        <v>-17</v>
      </c>
      <c r="R50" t="s">
        <v>105</v>
      </c>
    </row>
    <row r="51" spans="1:18">
      <c r="A51" t="s">
        <v>48</v>
      </c>
      <c r="B51" s="3">
        <v>45505</v>
      </c>
      <c r="C51">
        <v>44.24</v>
      </c>
      <c r="D51">
        <v>44.26</v>
      </c>
      <c r="E51">
        <v>43.31</v>
      </c>
      <c r="F51">
        <v>43.71</v>
      </c>
      <c r="G51">
        <v>43.9</v>
      </c>
      <c r="H51">
        <v>-0.19</v>
      </c>
      <c r="I51">
        <v>-0.4328</v>
      </c>
      <c r="J51">
        <v>411318.31</v>
      </c>
      <c r="K51">
        <v>1800482.583</v>
      </c>
      <c r="L51" t="s">
        <v>103</v>
      </c>
      <c r="M51" t="s">
        <v>104</v>
      </c>
      <c r="N51" s="3">
        <v>45527</v>
      </c>
      <c r="O51">
        <v>50</v>
      </c>
      <c r="P51">
        <v>66</v>
      </c>
      <c r="Q51">
        <v>-16</v>
      </c>
      <c r="R51" t="s">
        <v>105</v>
      </c>
    </row>
    <row r="52" spans="1:18">
      <c r="A52" t="s">
        <v>48</v>
      </c>
      <c r="B52" s="3">
        <v>45506</v>
      </c>
      <c r="C52">
        <v>43</v>
      </c>
      <c r="D52">
        <v>44.64</v>
      </c>
      <c r="E52">
        <v>42.8</v>
      </c>
      <c r="F52">
        <v>42.89</v>
      </c>
      <c r="G52">
        <v>43.71</v>
      </c>
      <c r="H52">
        <v>-0.82</v>
      </c>
      <c r="I52">
        <v>-1.876</v>
      </c>
      <c r="J52">
        <v>432932.5</v>
      </c>
      <c r="K52">
        <v>1885095.292</v>
      </c>
      <c r="L52" t="s">
        <v>103</v>
      </c>
      <c r="M52" t="s">
        <v>104</v>
      </c>
      <c r="N52" s="3">
        <v>45527</v>
      </c>
      <c r="O52">
        <v>51</v>
      </c>
      <c r="P52">
        <v>66</v>
      </c>
      <c r="Q52">
        <v>-15</v>
      </c>
      <c r="R52" t="s">
        <v>105</v>
      </c>
    </row>
    <row r="53" spans="1:18">
      <c r="A53" t="s">
        <v>48</v>
      </c>
      <c r="B53" s="3">
        <v>45509</v>
      </c>
      <c r="C53">
        <v>42</v>
      </c>
      <c r="D53">
        <v>42.89</v>
      </c>
      <c r="E53">
        <v>40.5</v>
      </c>
      <c r="F53">
        <v>40.5</v>
      </c>
      <c r="G53">
        <v>42.89</v>
      </c>
      <c r="H53">
        <v>-2.39</v>
      </c>
      <c r="I53">
        <v>-5.5724</v>
      </c>
      <c r="J53">
        <v>477128.94</v>
      </c>
      <c r="K53">
        <v>1987606.306</v>
      </c>
      <c r="L53" t="s">
        <v>103</v>
      </c>
      <c r="M53" t="s">
        <v>104</v>
      </c>
      <c r="N53" s="3">
        <v>45527</v>
      </c>
      <c r="O53">
        <v>52</v>
      </c>
      <c r="P53">
        <v>66</v>
      </c>
      <c r="Q53">
        <v>-14</v>
      </c>
      <c r="R53" t="s">
        <v>105</v>
      </c>
    </row>
    <row r="54" spans="1:18">
      <c r="A54" t="s">
        <v>48</v>
      </c>
      <c r="B54" s="3">
        <v>45510</v>
      </c>
      <c r="C54">
        <v>41.3</v>
      </c>
      <c r="D54">
        <v>41.48</v>
      </c>
      <c r="E54">
        <v>40.08</v>
      </c>
      <c r="F54">
        <v>41.11</v>
      </c>
      <c r="G54">
        <v>40.5</v>
      </c>
      <c r="H54">
        <v>0.61</v>
      </c>
      <c r="I54">
        <v>1.5062</v>
      </c>
      <c r="J54">
        <v>319584.14</v>
      </c>
      <c r="K54">
        <v>1301646.416</v>
      </c>
      <c r="L54" t="s">
        <v>103</v>
      </c>
      <c r="M54" t="s">
        <v>104</v>
      </c>
      <c r="N54" s="3">
        <v>45527</v>
      </c>
      <c r="O54">
        <v>53</v>
      </c>
      <c r="P54">
        <v>66</v>
      </c>
      <c r="Q54">
        <v>-13</v>
      </c>
      <c r="R54" t="s">
        <v>105</v>
      </c>
    </row>
    <row r="55" spans="1:18">
      <c r="A55" t="s">
        <v>48</v>
      </c>
      <c r="B55" s="3">
        <v>45511</v>
      </c>
      <c r="C55">
        <v>40.95</v>
      </c>
      <c r="D55">
        <v>41.19</v>
      </c>
      <c r="E55">
        <v>38.9</v>
      </c>
      <c r="F55">
        <v>39.41</v>
      </c>
      <c r="G55">
        <v>41.11</v>
      </c>
      <c r="H55">
        <v>-1.7</v>
      </c>
      <c r="I55">
        <v>-4.1352</v>
      </c>
      <c r="J55">
        <v>407821.34</v>
      </c>
      <c r="K55">
        <v>1626678.321</v>
      </c>
      <c r="L55" t="s">
        <v>103</v>
      </c>
      <c r="M55" t="s">
        <v>104</v>
      </c>
      <c r="N55" s="3">
        <v>45527</v>
      </c>
      <c r="O55">
        <v>54</v>
      </c>
      <c r="P55">
        <v>66</v>
      </c>
      <c r="Q55">
        <v>-12</v>
      </c>
      <c r="R55" t="s">
        <v>105</v>
      </c>
    </row>
    <row r="56" spans="1:18">
      <c r="A56" t="s">
        <v>48</v>
      </c>
      <c r="B56" s="3">
        <v>45512</v>
      </c>
      <c r="C56">
        <v>38.99</v>
      </c>
      <c r="D56">
        <v>39.81</v>
      </c>
      <c r="E56">
        <v>38.5</v>
      </c>
      <c r="F56">
        <v>39.16</v>
      </c>
      <c r="G56">
        <v>39.41</v>
      </c>
      <c r="H56">
        <v>-0.25</v>
      </c>
      <c r="I56">
        <v>-0.6344</v>
      </c>
      <c r="J56">
        <v>292893.81</v>
      </c>
      <c r="K56">
        <v>1143104.163</v>
      </c>
      <c r="L56" t="s">
        <v>103</v>
      </c>
      <c r="M56" t="s">
        <v>104</v>
      </c>
      <c r="N56" s="3">
        <v>45527</v>
      </c>
      <c r="O56">
        <v>55</v>
      </c>
      <c r="P56">
        <v>66</v>
      </c>
      <c r="Q56">
        <v>-11</v>
      </c>
      <c r="R56" t="s">
        <v>105</v>
      </c>
    </row>
    <row r="57" spans="1:18">
      <c r="A57" t="s">
        <v>48</v>
      </c>
      <c r="B57" s="3">
        <v>45513</v>
      </c>
      <c r="C57">
        <v>39.69</v>
      </c>
      <c r="D57">
        <v>39.85</v>
      </c>
      <c r="E57">
        <v>38.97</v>
      </c>
      <c r="F57">
        <v>38.99</v>
      </c>
      <c r="G57">
        <v>39.16</v>
      </c>
      <c r="H57">
        <v>-0.17</v>
      </c>
      <c r="I57">
        <v>-0.4341</v>
      </c>
      <c r="J57">
        <v>196396.48</v>
      </c>
      <c r="K57">
        <v>774205.843</v>
      </c>
      <c r="L57" t="s">
        <v>103</v>
      </c>
      <c r="M57" t="s">
        <v>104</v>
      </c>
      <c r="N57" s="3">
        <v>45527</v>
      </c>
      <c r="O57">
        <v>56</v>
      </c>
      <c r="P57">
        <v>66</v>
      </c>
      <c r="Q57">
        <v>-10</v>
      </c>
      <c r="R57" t="s">
        <v>105</v>
      </c>
    </row>
    <row r="58" spans="1:18">
      <c r="A58" t="s">
        <v>48</v>
      </c>
      <c r="B58" s="3">
        <v>45516</v>
      </c>
      <c r="C58">
        <v>38.9</v>
      </c>
      <c r="D58">
        <v>39.3</v>
      </c>
      <c r="E58">
        <v>38.55</v>
      </c>
      <c r="F58">
        <v>38.94</v>
      </c>
      <c r="G58">
        <v>38.99</v>
      </c>
      <c r="H58">
        <v>-0.05</v>
      </c>
      <c r="I58">
        <v>-0.1282</v>
      </c>
      <c r="J58">
        <v>170209.96</v>
      </c>
      <c r="K58">
        <v>662756.013</v>
      </c>
      <c r="L58" t="s">
        <v>103</v>
      </c>
      <c r="M58" t="s">
        <v>104</v>
      </c>
      <c r="N58" s="3">
        <v>45527</v>
      </c>
      <c r="O58">
        <v>57</v>
      </c>
      <c r="P58">
        <v>66</v>
      </c>
      <c r="Q58">
        <v>-9</v>
      </c>
      <c r="R58" t="s">
        <v>105</v>
      </c>
    </row>
    <row r="59" spans="1:18">
      <c r="A59" t="s">
        <v>48</v>
      </c>
      <c r="B59" s="3">
        <v>45517</v>
      </c>
      <c r="C59">
        <v>39.03</v>
      </c>
      <c r="D59">
        <v>39.52</v>
      </c>
      <c r="E59">
        <v>38.91</v>
      </c>
      <c r="F59">
        <v>39.5</v>
      </c>
      <c r="G59">
        <v>38.94</v>
      </c>
      <c r="H59">
        <v>0.56</v>
      </c>
      <c r="I59">
        <v>1.4381</v>
      </c>
      <c r="J59">
        <v>169457.11</v>
      </c>
      <c r="K59">
        <v>665270.183</v>
      </c>
      <c r="L59" t="s">
        <v>103</v>
      </c>
      <c r="M59" t="s">
        <v>104</v>
      </c>
      <c r="N59" s="3">
        <v>45527</v>
      </c>
      <c r="O59">
        <v>58</v>
      </c>
      <c r="P59">
        <v>66</v>
      </c>
      <c r="Q59">
        <v>-8</v>
      </c>
      <c r="R59" t="s">
        <v>105</v>
      </c>
    </row>
    <row r="60" spans="1:18">
      <c r="A60" t="s">
        <v>48</v>
      </c>
      <c r="B60" s="3">
        <v>45518</v>
      </c>
      <c r="C60">
        <v>39.84</v>
      </c>
      <c r="D60">
        <v>39.84</v>
      </c>
      <c r="E60">
        <v>39.06</v>
      </c>
      <c r="F60">
        <v>39.11</v>
      </c>
      <c r="G60">
        <v>39.5</v>
      </c>
      <c r="H60">
        <v>-0.39</v>
      </c>
      <c r="I60">
        <v>-0.9873</v>
      </c>
      <c r="J60">
        <v>138747.31</v>
      </c>
      <c r="K60">
        <v>546930.863</v>
      </c>
      <c r="L60" t="s">
        <v>103</v>
      </c>
      <c r="M60" t="s">
        <v>104</v>
      </c>
      <c r="N60" s="3">
        <v>45527</v>
      </c>
      <c r="O60">
        <v>59</v>
      </c>
      <c r="P60">
        <v>66</v>
      </c>
      <c r="Q60">
        <v>-7</v>
      </c>
      <c r="R60" t="s">
        <v>105</v>
      </c>
    </row>
    <row r="61" spans="1:18">
      <c r="A61" t="s">
        <v>48</v>
      </c>
      <c r="B61" s="3">
        <v>45519</v>
      </c>
      <c r="C61">
        <v>38.51</v>
      </c>
      <c r="D61">
        <v>39.99</v>
      </c>
      <c r="E61">
        <v>38.49</v>
      </c>
      <c r="F61">
        <v>39.49</v>
      </c>
      <c r="G61">
        <v>39.11</v>
      </c>
      <c r="H61">
        <v>0.38</v>
      </c>
      <c r="I61">
        <v>0.9716</v>
      </c>
      <c r="J61">
        <v>259555.79</v>
      </c>
      <c r="K61">
        <v>1023365.884</v>
      </c>
      <c r="L61" t="s">
        <v>103</v>
      </c>
      <c r="M61" t="s">
        <v>104</v>
      </c>
      <c r="N61" s="3">
        <v>45527</v>
      </c>
      <c r="O61">
        <v>60</v>
      </c>
      <c r="P61">
        <v>66</v>
      </c>
      <c r="Q61">
        <v>-6</v>
      </c>
      <c r="R61" t="s">
        <v>105</v>
      </c>
    </row>
    <row r="62" spans="1:18">
      <c r="A62" t="s">
        <v>48</v>
      </c>
      <c r="B62" s="3">
        <v>45520</v>
      </c>
      <c r="C62">
        <v>39.5</v>
      </c>
      <c r="D62">
        <v>39.98</v>
      </c>
      <c r="E62">
        <v>39.3</v>
      </c>
      <c r="F62">
        <v>39.54</v>
      </c>
      <c r="G62">
        <v>39.49</v>
      </c>
      <c r="H62">
        <v>0.05</v>
      </c>
      <c r="I62">
        <v>0.1266</v>
      </c>
      <c r="J62">
        <v>186333.91</v>
      </c>
      <c r="K62">
        <v>738201.662</v>
      </c>
      <c r="L62" t="s">
        <v>103</v>
      </c>
      <c r="M62" t="s">
        <v>104</v>
      </c>
      <c r="N62" s="3">
        <v>45527</v>
      </c>
      <c r="O62">
        <v>61</v>
      </c>
      <c r="P62">
        <v>66</v>
      </c>
      <c r="Q62">
        <v>-5</v>
      </c>
      <c r="R62" t="s">
        <v>105</v>
      </c>
    </row>
    <row r="63" spans="1:18">
      <c r="A63" t="s">
        <v>48</v>
      </c>
      <c r="B63" s="3">
        <v>45523</v>
      </c>
      <c r="C63">
        <v>39.55</v>
      </c>
      <c r="D63">
        <v>40.47</v>
      </c>
      <c r="E63">
        <v>39.38</v>
      </c>
      <c r="F63">
        <v>40</v>
      </c>
      <c r="G63">
        <v>39.54</v>
      </c>
      <c r="H63">
        <v>0.46</v>
      </c>
      <c r="I63">
        <v>1.1634</v>
      </c>
      <c r="J63">
        <v>206496.88</v>
      </c>
      <c r="K63">
        <v>827013.337</v>
      </c>
      <c r="L63" t="s">
        <v>103</v>
      </c>
      <c r="M63" t="s">
        <v>104</v>
      </c>
      <c r="N63" s="3">
        <v>45527</v>
      </c>
      <c r="O63">
        <v>62</v>
      </c>
      <c r="P63">
        <v>66</v>
      </c>
      <c r="Q63">
        <v>-4</v>
      </c>
      <c r="R63" t="s">
        <v>105</v>
      </c>
    </row>
    <row r="64" spans="1:18">
      <c r="A64" t="s">
        <v>48</v>
      </c>
      <c r="B64" s="3">
        <v>45524</v>
      </c>
      <c r="C64">
        <v>40</v>
      </c>
      <c r="D64">
        <v>40.01</v>
      </c>
      <c r="E64">
        <v>38.88</v>
      </c>
      <c r="F64">
        <v>39.02</v>
      </c>
      <c r="G64">
        <v>40</v>
      </c>
      <c r="H64">
        <v>-0.98</v>
      </c>
      <c r="I64">
        <v>-2.45</v>
      </c>
      <c r="J64">
        <v>209446.9</v>
      </c>
      <c r="K64">
        <v>821224.054</v>
      </c>
      <c r="L64" t="s">
        <v>103</v>
      </c>
      <c r="M64" t="s">
        <v>104</v>
      </c>
      <c r="N64" s="3">
        <v>45527</v>
      </c>
      <c r="O64">
        <v>63</v>
      </c>
      <c r="P64">
        <v>66</v>
      </c>
      <c r="Q64">
        <v>-3</v>
      </c>
      <c r="R64" t="s">
        <v>105</v>
      </c>
    </row>
    <row r="65" spans="1:19">
      <c r="A65" t="s">
        <v>48</v>
      </c>
      <c r="B65" s="3">
        <v>45525</v>
      </c>
      <c r="C65">
        <v>38.81</v>
      </c>
      <c r="D65">
        <v>39.38</v>
      </c>
      <c r="E65">
        <v>38.81</v>
      </c>
      <c r="F65">
        <v>39</v>
      </c>
      <c r="G65">
        <v>39.02</v>
      </c>
      <c r="H65">
        <v>-0.02</v>
      </c>
      <c r="I65">
        <v>-0.0513</v>
      </c>
      <c r="J65">
        <v>137135.75</v>
      </c>
      <c r="K65">
        <v>536270.325</v>
      </c>
      <c r="L65" t="s">
        <v>103</v>
      </c>
      <c r="M65" t="s">
        <v>104</v>
      </c>
      <c r="N65" s="3">
        <v>45527</v>
      </c>
      <c r="O65">
        <v>64</v>
      </c>
      <c r="P65">
        <v>66</v>
      </c>
      <c r="Q65">
        <v>-2</v>
      </c>
      <c r="R65" t="s">
        <v>105</v>
      </c>
    </row>
    <row r="66" spans="1:19">
      <c r="A66" t="s">
        <v>48</v>
      </c>
      <c r="B66" s="3">
        <v>45526</v>
      </c>
      <c r="C66">
        <v>39.08</v>
      </c>
      <c r="D66">
        <v>39.3</v>
      </c>
      <c r="E66">
        <v>36.37</v>
      </c>
      <c r="F66">
        <v>36.51</v>
      </c>
      <c r="G66">
        <v>39</v>
      </c>
      <c r="H66">
        <v>-2.49</v>
      </c>
      <c r="I66">
        <v>-6.3846</v>
      </c>
      <c r="J66">
        <v>489856.09</v>
      </c>
      <c r="K66">
        <v>1830086.324</v>
      </c>
      <c r="L66" t="s">
        <v>103</v>
      </c>
      <c r="M66" t="s">
        <v>104</v>
      </c>
      <c r="N66" s="3">
        <v>45527</v>
      </c>
      <c r="O66">
        <v>65</v>
      </c>
      <c r="P66">
        <v>66</v>
      </c>
      <c r="Q66">
        <v>-1</v>
      </c>
      <c r="R66" t="s">
        <v>105</v>
      </c>
    </row>
    <row r="67" spans="1:19">
      <c r="A67" t="s">
        <v>48</v>
      </c>
      <c r="B67" s="3">
        <v>45527</v>
      </c>
      <c r="C67">
        <v>36.52</v>
      </c>
      <c r="D67">
        <v>37.03</v>
      </c>
      <c r="E67">
        <v>35.79</v>
      </c>
      <c r="F67">
        <v>36.38</v>
      </c>
      <c r="G67">
        <v>36.51</v>
      </c>
      <c r="H67">
        <v>-0.13</v>
      </c>
      <c r="I67">
        <v>-0.3561</v>
      </c>
      <c r="J67">
        <v>345196.77</v>
      </c>
      <c r="K67">
        <v>1256574.997</v>
      </c>
      <c r="L67" t="s">
        <v>103</v>
      </c>
      <c r="M67" t="s">
        <v>104</v>
      </c>
      <c r="N67" s="3">
        <v>45527</v>
      </c>
      <c r="O67">
        <v>66</v>
      </c>
      <c r="P67">
        <v>66</v>
      </c>
      <c r="Q67">
        <v>0</v>
      </c>
      <c r="R67" t="s">
        <v>106</v>
      </c>
      <c r="S67" t="s">
        <v>148</v>
      </c>
    </row>
    <row r="68" spans="1:19">
      <c r="A68" t="s">
        <v>48</v>
      </c>
      <c r="B68" s="3">
        <v>45530</v>
      </c>
      <c r="C68">
        <v>36.4</v>
      </c>
      <c r="D68">
        <v>36.58</v>
      </c>
      <c r="E68">
        <v>35.16</v>
      </c>
      <c r="F68">
        <v>35.68</v>
      </c>
      <c r="G68">
        <v>36.38</v>
      </c>
      <c r="H68">
        <v>-0.7</v>
      </c>
      <c r="I68">
        <v>-1.9241</v>
      </c>
      <c r="J68">
        <v>314781.3</v>
      </c>
      <c r="K68">
        <v>1126715.768</v>
      </c>
      <c r="L68" t="s">
        <v>103</v>
      </c>
      <c r="M68" t="s">
        <v>104</v>
      </c>
      <c r="N68" s="3">
        <v>45527</v>
      </c>
      <c r="O68">
        <v>67</v>
      </c>
      <c r="P68">
        <v>66</v>
      </c>
      <c r="Q68">
        <v>1</v>
      </c>
      <c r="R68" t="s">
        <v>107</v>
      </c>
    </row>
    <row r="69" spans="1:19">
      <c r="A69" t="s">
        <v>48</v>
      </c>
      <c r="B69" s="3">
        <v>45531</v>
      </c>
      <c r="C69">
        <v>35.45</v>
      </c>
      <c r="D69">
        <v>35.55</v>
      </c>
      <c r="E69">
        <v>34.83</v>
      </c>
      <c r="F69">
        <v>35.01</v>
      </c>
      <c r="G69">
        <v>35.68</v>
      </c>
      <c r="H69">
        <v>-0.67</v>
      </c>
      <c r="I69">
        <v>-1.8778</v>
      </c>
      <c r="J69">
        <v>208373.01</v>
      </c>
      <c r="K69">
        <v>730526.106</v>
      </c>
      <c r="L69" t="s">
        <v>103</v>
      </c>
      <c r="M69" t="s">
        <v>104</v>
      </c>
      <c r="N69" s="3">
        <v>45527</v>
      </c>
      <c r="O69">
        <v>68</v>
      </c>
      <c r="P69">
        <v>66</v>
      </c>
      <c r="Q69">
        <v>2</v>
      </c>
      <c r="R69" t="s">
        <v>107</v>
      </c>
    </row>
    <row r="70" spans="1:19">
      <c r="A70" t="s">
        <v>48</v>
      </c>
      <c r="B70" s="3">
        <v>45532</v>
      </c>
      <c r="C70">
        <v>35.01</v>
      </c>
      <c r="D70">
        <v>35.48</v>
      </c>
      <c r="E70">
        <v>34.82</v>
      </c>
      <c r="F70">
        <v>35.3</v>
      </c>
      <c r="G70">
        <v>35.01</v>
      </c>
      <c r="H70">
        <v>0.29</v>
      </c>
      <c r="I70">
        <v>0.8283</v>
      </c>
      <c r="J70">
        <v>168931.23</v>
      </c>
      <c r="K70">
        <v>593794.116</v>
      </c>
      <c r="L70" t="s">
        <v>103</v>
      </c>
      <c r="M70" t="s">
        <v>104</v>
      </c>
      <c r="N70" s="3">
        <v>45527</v>
      </c>
      <c r="O70">
        <v>69</v>
      </c>
      <c r="P70">
        <v>66</v>
      </c>
      <c r="Q70">
        <v>3</v>
      </c>
      <c r="R70" t="s">
        <v>107</v>
      </c>
    </row>
  </sheetData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50</v>
      </c>
    </row>
    <row r="3" spans="1:2">
      <c r="A3" s="5" t="s">
        <v>75</v>
      </c>
      <c r="B3" s="6" t="s">
        <v>51</v>
      </c>
    </row>
    <row r="4" spans="1:2">
      <c r="A4" s="5" t="s">
        <v>2</v>
      </c>
      <c r="B4" s="7">
        <v>45972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45972</v>
      </c>
    </row>
    <row r="9" spans="1:2">
      <c r="A9" s="5" t="s">
        <v>1</v>
      </c>
      <c r="B9">
        <v>5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22</v>
      </c>
    </row>
    <row r="13" ht="28" spans="1:2">
      <c r="A13" s="5" t="s">
        <v>80</v>
      </c>
      <c r="B13" s="9" t="s">
        <v>149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50</v>
      </c>
      <c r="B2" s="3">
        <v>45880</v>
      </c>
      <c r="C2">
        <v>21.47</v>
      </c>
      <c r="D2">
        <v>22.1</v>
      </c>
      <c r="E2">
        <v>21.47</v>
      </c>
      <c r="F2">
        <v>22.04</v>
      </c>
      <c r="G2">
        <v>21.52</v>
      </c>
      <c r="H2">
        <v>0.52</v>
      </c>
      <c r="I2">
        <v>2.4164</v>
      </c>
      <c r="J2">
        <v>110100.95</v>
      </c>
      <c r="K2">
        <v>241182.218</v>
      </c>
      <c r="L2" t="s">
        <v>103</v>
      </c>
      <c r="M2" t="s">
        <v>104</v>
      </c>
      <c r="N2" s="3">
        <v>45972</v>
      </c>
      <c r="O2">
        <v>1</v>
      </c>
      <c r="P2">
        <v>61</v>
      </c>
      <c r="Q2">
        <v>-60</v>
      </c>
      <c r="R2" t="s">
        <v>105</v>
      </c>
    </row>
    <row r="3" spans="1:19">
      <c r="A3" t="s">
        <v>50</v>
      </c>
      <c r="B3" s="3">
        <v>45881</v>
      </c>
      <c r="C3">
        <v>22.04</v>
      </c>
      <c r="D3">
        <v>22.09</v>
      </c>
      <c r="E3">
        <v>21.81</v>
      </c>
      <c r="F3">
        <v>21.93</v>
      </c>
      <c r="G3">
        <v>22.04</v>
      </c>
      <c r="H3">
        <v>-0.11</v>
      </c>
      <c r="I3">
        <v>-0.4991</v>
      </c>
      <c r="J3">
        <v>80599.34</v>
      </c>
      <c r="K3">
        <v>176699.239</v>
      </c>
      <c r="L3" t="s">
        <v>103</v>
      </c>
      <c r="M3" t="s">
        <v>104</v>
      </c>
      <c r="N3" s="3">
        <v>45972</v>
      </c>
      <c r="O3">
        <v>2</v>
      </c>
      <c r="P3">
        <v>61</v>
      </c>
      <c r="Q3">
        <v>-59</v>
      </c>
      <c r="R3" t="s">
        <v>105</v>
      </c>
    </row>
    <row r="4" spans="1:19">
      <c r="A4" t="s">
        <v>50</v>
      </c>
      <c r="B4" s="3">
        <v>45882</v>
      </c>
      <c r="C4">
        <v>21.94</v>
      </c>
      <c r="D4">
        <v>22.22</v>
      </c>
      <c r="E4">
        <v>21.84</v>
      </c>
      <c r="F4">
        <v>22.1</v>
      </c>
      <c r="G4">
        <v>21.93</v>
      </c>
      <c r="H4">
        <v>0.17</v>
      </c>
      <c r="I4">
        <v>0.7752</v>
      </c>
      <c r="J4">
        <v>119401.98</v>
      </c>
      <c r="K4">
        <v>263480.893</v>
      </c>
      <c r="L4" t="s">
        <v>103</v>
      </c>
      <c r="M4" t="s">
        <v>104</v>
      </c>
      <c r="N4" s="3">
        <v>45972</v>
      </c>
      <c r="O4">
        <v>3</v>
      </c>
      <c r="P4">
        <v>61</v>
      </c>
      <c r="Q4">
        <v>-58</v>
      </c>
      <c r="R4" t="s">
        <v>105</v>
      </c>
    </row>
    <row r="5" spans="1:19">
      <c r="A5" t="s">
        <v>50</v>
      </c>
      <c r="B5" s="3">
        <v>45883</v>
      </c>
      <c r="C5">
        <v>22.15</v>
      </c>
      <c r="D5">
        <v>22.27</v>
      </c>
      <c r="E5">
        <v>21.75</v>
      </c>
      <c r="F5">
        <v>21.77</v>
      </c>
      <c r="G5">
        <v>22.1</v>
      </c>
      <c r="H5">
        <v>-0.33</v>
      </c>
      <c r="I5">
        <v>-1.4932</v>
      </c>
      <c r="J5">
        <v>119839.27</v>
      </c>
      <c r="K5">
        <v>263260.136</v>
      </c>
      <c r="L5" t="s">
        <v>103</v>
      </c>
      <c r="M5" t="s">
        <v>104</v>
      </c>
      <c r="N5" s="3">
        <v>45972</v>
      </c>
      <c r="O5">
        <v>4</v>
      </c>
      <c r="P5">
        <v>61</v>
      </c>
      <c r="Q5">
        <v>-57</v>
      </c>
      <c r="R5" t="s">
        <v>105</v>
      </c>
    </row>
    <row r="6" spans="1:19">
      <c r="A6" t="s">
        <v>50</v>
      </c>
      <c r="B6" s="3">
        <v>45884</v>
      </c>
      <c r="C6">
        <v>21.63</v>
      </c>
      <c r="D6">
        <v>22.07</v>
      </c>
      <c r="E6">
        <v>21.6</v>
      </c>
      <c r="F6">
        <v>22.03</v>
      </c>
      <c r="G6">
        <v>21.77</v>
      </c>
      <c r="H6">
        <v>0.26</v>
      </c>
      <c r="I6">
        <v>1.1943</v>
      </c>
      <c r="J6">
        <v>104647.79</v>
      </c>
      <c r="K6">
        <v>229447.533</v>
      </c>
      <c r="L6" t="s">
        <v>103</v>
      </c>
      <c r="M6" t="s">
        <v>104</v>
      </c>
      <c r="N6" s="3">
        <v>45972</v>
      </c>
      <c r="O6">
        <v>5</v>
      </c>
      <c r="P6">
        <v>61</v>
      </c>
      <c r="Q6">
        <v>-56</v>
      </c>
      <c r="R6" t="s">
        <v>105</v>
      </c>
    </row>
    <row r="7" spans="1:19">
      <c r="A7" t="s">
        <v>50</v>
      </c>
      <c r="B7" s="3">
        <v>45887</v>
      </c>
      <c r="C7">
        <v>22.05</v>
      </c>
      <c r="D7">
        <v>22.8</v>
      </c>
      <c r="E7">
        <v>22.05</v>
      </c>
      <c r="F7">
        <v>22.76</v>
      </c>
      <c r="G7">
        <v>22.03</v>
      </c>
      <c r="H7">
        <v>0.73</v>
      </c>
      <c r="I7">
        <v>3.3137</v>
      </c>
      <c r="J7">
        <v>266144.94</v>
      </c>
      <c r="K7">
        <v>601084.252</v>
      </c>
      <c r="L7" t="s">
        <v>103</v>
      </c>
      <c r="M7" t="s">
        <v>104</v>
      </c>
      <c r="N7" s="3">
        <v>45972</v>
      </c>
      <c r="O7">
        <v>6</v>
      </c>
      <c r="P7">
        <v>61</v>
      </c>
      <c r="Q7">
        <v>-55</v>
      </c>
      <c r="R7" t="s">
        <v>105</v>
      </c>
    </row>
    <row r="8" spans="1:19">
      <c r="A8" t="s">
        <v>50</v>
      </c>
      <c r="B8" s="3">
        <v>45888</v>
      </c>
      <c r="C8">
        <v>22.87</v>
      </c>
      <c r="D8">
        <v>22.98</v>
      </c>
      <c r="E8">
        <v>22.44</v>
      </c>
      <c r="F8">
        <v>22.73</v>
      </c>
      <c r="G8">
        <v>22.76</v>
      </c>
      <c r="H8">
        <v>-0.03</v>
      </c>
      <c r="I8">
        <v>-0.1318</v>
      </c>
      <c r="J8">
        <v>187196.07</v>
      </c>
      <c r="K8">
        <v>425519.202</v>
      </c>
      <c r="L8" t="s">
        <v>103</v>
      </c>
      <c r="M8" t="s">
        <v>104</v>
      </c>
      <c r="N8" s="3">
        <v>45972</v>
      </c>
      <c r="O8">
        <v>7</v>
      </c>
      <c r="P8">
        <v>61</v>
      </c>
      <c r="Q8">
        <v>-54</v>
      </c>
      <c r="R8" t="s">
        <v>105</v>
      </c>
    </row>
    <row r="9" spans="1:19">
      <c r="A9" t="s">
        <v>50</v>
      </c>
      <c r="B9" s="3">
        <v>45889</v>
      </c>
      <c r="C9">
        <v>22.51</v>
      </c>
      <c r="D9">
        <v>23.05</v>
      </c>
      <c r="E9">
        <v>22.51</v>
      </c>
      <c r="F9">
        <v>23.05</v>
      </c>
      <c r="G9">
        <v>22.73</v>
      </c>
      <c r="H9">
        <v>0.32</v>
      </c>
      <c r="I9">
        <v>1.4078</v>
      </c>
      <c r="J9">
        <v>203947.91</v>
      </c>
      <c r="K9">
        <v>466151.909</v>
      </c>
      <c r="L9" t="s">
        <v>103</v>
      </c>
      <c r="M9" t="s">
        <v>104</v>
      </c>
      <c r="N9" s="3">
        <v>45972</v>
      </c>
      <c r="O9">
        <v>8</v>
      </c>
      <c r="P9">
        <v>61</v>
      </c>
      <c r="Q9">
        <v>-53</v>
      </c>
      <c r="R9" t="s">
        <v>105</v>
      </c>
    </row>
    <row r="10" spans="1:19">
      <c r="A10" t="s">
        <v>50</v>
      </c>
      <c r="B10" s="3">
        <v>45890</v>
      </c>
      <c r="C10">
        <v>23.11</v>
      </c>
      <c r="D10">
        <v>23.32</v>
      </c>
      <c r="E10">
        <v>22.79</v>
      </c>
      <c r="F10">
        <v>22.95</v>
      </c>
      <c r="G10">
        <v>23.05</v>
      </c>
      <c r="H10">
        <v>-0.1</v>
      </c>
      <c r="I10">
        <v>-0.4338</v>
      </c>
      <c r="J10">
        <v>187469.81</v>
      </c>
      <c r="K10">
        <v>431050.251</v>
      </c>
      <c r="L10" t="s">
        <v>103</v>
      </c>
      <c r="M10" t="s">
        <v>104</v>
      </c>
      <c r="N10" s="3">
        <v>45972</v>
      </c>
      <c r="O10">
        <v>9</v>
      </c>
      <c r="P10">
        <v>61</v>
      </c>
      <c r="Q10">
        <v>-52</v>
      </c>
      <c r="R10" t="s">
        <v>105</v>
      </c>
    </row>
    <row r="11" spans="1:19">
      <c r="A11" t="s">
        <v>50</v>
      </c>
      <c r="B11" s="3">
        <v>45891</v>
      </c>
      <c r="C11">
        <v>22.95</v>
      </c>
      <c r="D11">
        <v>23.47</v>
      </c>
      <c r="E11">
        <v>22.81</v>
      </c>
      <c r="F11">
        <v>23.3</v>
      </c>
      <c r="G11">
        <v>22.95</v>
      </c>
      <c r="H11">
        <v>0.35</v>
      </c>
      <c r="I11">
        <v>1.5251</v>
      </c>
      <c r="J11">
        <v>216156.65</v>
      </c>
      <c r="K11">
        <v>502796.467</v>
      </c>
      <c r="L11" t="s">
        <v>103</v>
      </c>
      <c r="M11" t="s">
        <v>104</v>
      </c>
      <c r="N11" s="3">
        <v>45972</v>
      </c>
      <c r="O11">
        <v>10</v>
      </c>
      <c r="P11">
        <v>61</v>
      </c>
      <c r="Q11">
        <v>-51</v>
      </c>
      <c r="R11" t="s">
        <v>105</v>
      </c>
    </row>
    <row r="12" spans="1:19">
      <c r="A12" t="s">
        <v>50</v>
      </c>
      <c r="B12" s="3">
        <v>45894</v>
      </c>
      <c r="C12">
        <v>23.81</v>
      </c>
      <c r="D12">
        <v>23.94</v>
      </c>
      <c r="E12">
        <v>23.21</v>
      </c>
      <c r="F12">
        <v>23.42</v>
      </c>
      <c r="G12">
        <v>23.3</v>
      </c>
      <c r="H12">
        <v>0.12</v>
      </c>
      <c r="I12">
        <v>0.515</v>
      </c>
      <c r="J12">
        <v>270418.63</v>
      </c>
      <c r="K12">
        <v>637017.466</v>
      </c>
      <c r="L12" t="s">
        <v>103</v>
      </c>
      <c r="M12" t="s">
        <v>104</v>
      </c>
      <c r="N12" s="3">
        <v>45972</v>
      </c>
      <c r="O12">
        <v>11</v>
      </c>
      <c r="P12">
        <v>61</v>
      </c>
      <c r="Q12">
        <v>-50</v>
      </c>
      <c r="R12" t="s">
        <v>105</v>
      </c>
    </row>
    <row r="13" spans="1:19">
      <c r="A13" t="s">
        <v>50</v>
      </c>
      <c r="B13" s="3">
        <v>45895</v>
      </c>
      <c r="C13">
        <v>23.21</v>
      </c>
      <c r="D13">
        <v>23.87</v>
      </c>
      <c r="E13">
        <v>23.18</v>
      </c>
      <c r="F13">
        <v>23.55</v>
      </c>
      <c r="G13">
        <v>23.42</v>
      </c>
      <c r="H13">
        <v>0.13</v>
      </c>
      <c r="I13">
        <v>0.5551</v>
      </c>
      <c r="J13">
        <v>209111.22</v>
      </c>
      <c r="K13">
        <v>493058.03</v>
      </c>
      <c r="L13" t="s">
        <v>103</v>
      </c>
      <c r="M13" t="s">
        <v>104</v>
      </c>
      <c r="N13" s="3">
        <v>45972</v>
      </c>
      <c r="O13">
        <v>12</v>
      </c>
      <c r="P13">
        <v>61</v>
      </c>
      <c r="Q13">
        <v>-49</v>
      </c>
      <c r="R13" t="s">
        <v>105</v>
      </c>
    </row>
    <row r="14" spans="1:19">
      <c r="A14" t="s">
        <v>50</v>
      </c>
      <c r="B14" s="3">
        <v>45896</v>
      </c>
      <c r="C14">
        <v>23.55</v>
      </c>
      <c r="D14">
        <v>24.54</v>
      </c>
      <c r="E14">
        <v>23.54</v>
      </c>
      <c r="F14">
        <v>23.71</v>
      </c>
      <c r="G14">
        <v>23.55</v>
      </c>
      <c r="H14">
        <v>0.16</v>
      </c>
      <c r="I14">
        <v>0.6794</v>
      </c>
      <c r="J14">
        <v>433796.38</v>
      </c>
      <c r="K14">
        <v>1043097.326</v>
      </c>
      <c r="L14" t="s">
        <v>103</v>
      </c>
      <c r="M14" t="s">
        <v>104</v>
      </c>
      <c r="N14" s="3">
        <v>45972</v>
      </c>
      <c r="O14">
        <v>13</v>
      </c>
      <c r="P14">
        <v>61</v>
      </c>
      <c r="Q14">
        <v>-48</v>
      </c>
      <c r="R14" t="s">
        <v>105</v>
      </c>
    </row>
    <row r="15" spans="1:19">
      <c r="A15" t="s">
        <v>50</v>
      </c>
      <c r="B15" s="3">
        <v>45897</v>
      </c>
      <c r="C15">
        <v>23.85</v>
      </c>
      <c r="D15">
        <v>24.33</v>
      </c>
      <c r="E15">
        <v>23.32</v>
      </c>
      <c r="F15">
        <v>24.21</v>
      </c>
      <c r="G15">
        <v>23.71</v>
      </c>
      <c r="H15">
        <v>0.5</v>
      </c>
      <c r="I15">
        <v>2.1088</v>
      </c>
      <c r="J15">
        <v>336249.89</v>
      </c>
      <c r="K15">
        <v>804687.296</v>
      </c>
      <c r="L15" t="s">
        <v>103</v>
      </c>
      <c r="M15" t="s">
        <v>104</v>
      </c>
      <c r="N15" s="3">
        <v>45972</v>
      </c>
      <c r="O15">
        <v>14</v>
      </c>
      <c r="P15">
        <v>61</v>
      </c>
      <c r="Q15">
        <v>-47</v>
      </c>
      <c r="R15" t="s">
        <v>105</v>
      </c>
    </row>
    <row r="16" spans="1:19">
      <c r="A16" t="s">
        <v>50</v>
      </c>
      <c r="B16" s="3">
        <v>45898</v>
      </c>
      <c r="C16">
        <v>24.33</v>
      </c>
      <c r="D16">
        <v>24.5</v>
      </c>
      <c r="E16">
        <v>23.63</v>
      </c>
      <c r="F16">
        <v>23.84</v>
      </c>
      <c r="G16">
        <v>24.21</v>
      </c>
      <c r="H16">
        <v>-0.37</v>
      </c>
      <c r="I16">
        <v>-1.5283</v>
      </c>
      <c r="J16">
        <v>228212.49</v>
      </c>
      <c r="K16">
        <v>545511.886</v>
      </c>
      <c r="L16" t="s">
        <v>103</v>
      </c>
      <c r="M16" t="s">
        <v>104</v>
      </c>
      <c r="N16" s="3">
        <v>45972</v>
      </c>
      <c r="O16">
        <v>15</v>
      </c>
      <c r="P16">
        <v>61</v>
      </c>
      <c r="Q16">
        <v>-46</v>
      </c>
      <c r="R16" t="s">
        <v>105</v>
      </c>
    </row>
    <row r="17" spans="1:18">
      <c r="A17" t="s">
        <v>50</v>
      </c>
      <c r="B17" s="3">
        <v>45901</v>
      </c>
      <c r="C17">
        <v>23.9</v>
      </c>
      <c r="D17">
        <v>24.45</v>
      </c>
      <c r="E17">
        <v>23.9</v>
      </c>
      <c r="F17">
        <v>23.94</v>
      </c>
      <c r="G17">
        <v>23.84</v>
      </c>
      <c r="H17">
        <v>0.1</v>
      </c>
      <c r="I17">
        <v>0.4195</v>
      </c>
      <c r="J17">
        <v>220711.51</v>
      </c>
      <c r="K17">
        <v>531651.57</v>
      </c>
      <c r="L17" t="s">
        <v>103</v>
      </c>
      <c r="M17" t="s">
        <v>104</v>
      </c>
      <c r="N17" s="3">
        <v>45972</v>
      </c>
      <c r="O17">
        <v>16</v>
      </c>
      <c r="P17">
        <v>61</v>
      </c>
      <c r="Q17">
        <v>-45</v>
      </c>
      <c r="R17" t="s">
        <v>105</v>
      </c>
    </row>
    <row r="18" spans="1:18">
      <c r="A18" t="s">
        <v>50</v>
      </c>
      <c r="B18" s="3">
        <v>45902</v>
      </c>
      <c r="C18">
        <v>23.98</v>
      </c>
      <c r="D18">
        <v>23.99</v>
      </c>
      <c r="E18">
        <v>22.9</v>
      </c>
      <c r="F18">
        <v>23.01</v>
      </c>
      <c r="G18">
        <v>23.94</v>
      </c>
      <c r="H18">
        <v>-0.93</v>
      </c>
      <c r="I18">
        <v>-3.8847</v>
      </c>
      <c r="J18">
        <v>219790.48</v>
      </c>
      <c r="K18">
        <v>510264.946</v>
      </c>
      <c r="L18" t="s">
        <v>103</v>
      </c>
      <c r="M18" t="s">
        <v>104</v>
      </c>
      <c r="N18" s="3">
        <v>45972</v>
      </c>
      <c r="O18">
        <v>17</v>
      </c>
      <c r="P18">
        <v>61</v>
      </c>
      <c r="Q18">
        <v>-44</v>
      </c>
      <c r="R18" t="s">
        <v>105</v>
      </c>
    </row>
    <row r="19" spans="1:18">
      <c r="A19" t="s">
        <v>50</v>
      </c>
      <c r="B19" s="3">
        <v>45903</v>
      </c>
      <c r="C19">
        <v>23.01</v>
      </c>
      <c r="D19">
        <v>23.23</v>
      </c>
      <c r="E19">
        <v>22.18</v>
      </c>
      <c r="F19">
        <v>22.27</v>
      </c>
      <c r="G19">
        <v>23.01</v>
      </c>
      <c r="H19">
        <v>-0.74</v>
      </c>
      <c r="I19">
        <v>-3.216</v>
      </c>
      <c r="J19">
        <v>133776.39</v>
      </c>
      <c r="K19">
        <v>303405.218</v>
      </c>
      <c r="L19" t="s">
        <v>103</v>
      </c>
      <c r="M19" t="s">
        <v>104</v>
      </c>
      <c r="N19" s="3">
        <v>45972</v>
      </c>
      <c r="O19">
        <v>18</v>
      </c>
      <c r="P19">
        <v>61</v>
      </c>
      <c r="Q19">
        <v>-43</v>
      </c>
      <c r="R19" t="s">
        <v>105</v>
      </c>
    </row>
    <row r="20" spans="1:18">
      <c r="A20" t="s">
        <v>50</v>
      </c>
      <c r="B20" s="3">
        <v>45904</v>
      </c>
      <c r="C20">
        <v>22.42</v>
      </c>
      <c r="D20">
        <v>22.87</v>
      </c>
      <c r="E20">
        <v>21.7</v>
      </c>
      <c r="F20">
        <v>22.06</v>
      </c>
      <c r="G20">
        <v>22.27</v>
      </c>
      <c r="H20">
        <v>-0.21</v>
      </c>
      <c r="I20">
        <v>-0.943</v>
      </c>
      <c r="J20">
        <v>154421.68</v>
      </c>
      <c r="K20">
        <v>344325.951</v>
      </c>
      <c r="L20" t="s">
        <v>103</v>
      </c>
      <c r="M20" t="s">
        <v>104</v>
      </c>
      <c r="N20" s="3">
        <v>45972</v>
      </c>
      <c r="O20">
        <v>19</v>
      </c>
      <c r="P20">
        <v>61</v>
      </c>
      <c r="Q20">
        <v>-42</v>
      </c>
      <c r="R20" t="s">
        <v>105</v>
      </c>
    </row>
    <row r="21" spans="1:18">
      <c r="A21" t="s">
        <v>50</v>
      </c>
      <c r="B21" s="3">
        <v>45905</v>
      </c>
      <c r="C21">
        <v>22.1</v>
      </c>
      <c r="D21">
        <v>22.58</v>
      </c>
      <c r="E21">
        <v>21.76</v>
      </c>
      <c r="F21">
        <v>22.53</v>
      </c>
      <c r="G21">
        <v>22.06</v>
      </c>
      <c r="H21">
        <v>0.47</v>
      </c>
      <c r="I21">
        <v>2.1306</v>
      </c>
      <c r="J21">
        <v>119835.42</v>
      </c>
      <c r="K21">
        <v>266165.71</v>
      </c>
      <c r="L21" t="s">
        <v>103</v>
      </c>
      <c r="M21" t="s">
        <v>104</v>
      </c>
      <c r="N21" s="3">
        <v>45972</v>
      </c>
      <c r="O21">
        <v>20</v>
      </c>
      <c r="P21">
        <v>61</v>
      </c>
      <c r="Q21">
        <v>-41</v>
      </c>
      <c r="R21" t="s">
        <v>105</v>
      </c>
    </row>
    <row r="22" spans="1:18">
      <c r="A22" t="s">
        <v>50</v>
      </c>
      <c r="B22" s="3">
        <v>45908</v>
      </c>
      <c r="C22">
        <v>22.53</v>
      </c>
      <c r="D22">
        <v>22.54</v>
      </c>
      <c r="E22">
        <v>22.12</v>
      </c>
      <c r="F22">
        <v>22.38</v>
      </c>
      <c r="G22">
        <v>22.53</v>
      </c>
      <c r="H22">
        <v>-0.15</v>
      </c>
      <c r="I22">
        <v>-0.6658</v>
      </c>
      <c r="J22">
        <v>114946.87</v>
      </c>
      <c r="K22">
        <v>256409.296</v>
      </c>
      <c r="L22" t="s">
        <v>103</v>
      </c>
      <c r="M22" t="s">
        <v>104</v>
      </c>
      <c r="N22" s="3">
        <v>45972</v>
      </c>
      <c r="O22">
        <v>21</v>
      </c>
      <c r="P22">
        <v>61</v>
      </c>
      <c r="Q22">
        <v>-40</v>
      </c>
      <c r="R22" t="s">
        <v>105</v>
      </c>
    </row>
    <row r="23" spans="1:18">
      <c r="A23" t="s">
        <v>50</v>
      </c>
      <c r="B23" s="3">
        <v>45909</v>
      </c>
      <c r="C23">
        <v>22.39</v>
      </c>
      <c r="D23">
        <v>22.39</v>
      </c>
      <c r="E23">
        <v>21.85</v>
      </c>
      <c r="F23">
        <v>21.87</v>
      </c>
      <c r="G23">
        <v>22.38</v>
      </c>
      <c r="H23">
        <v>-0.51</v>
      </c>
      <c r="I23">
        <v>-2.2788</v>
      </c>
      <c r="J23">
        <v>112340.2</v>
      </c>
      <c r="K23">
        <v>247608.546</v>
      </c>
      <c r="L23" t="s">
        <v>103</v>
      </c>
      <c r="M23" t="s">
        <v>104</v>
      </c>
      <c r="N23" s="3">
        <v>45972</v>
      </c>
      <c r="O23">
        <v>22</v>
      </c>
      <c r="P23">
        <v>61</v>
      </c>
      <c r="Q23">
        <v>-39</v>
      </c>
      <c r="R23" t="s">
        <v>105</v>
      </c>
    </row>
    <row r="24" spans="1:18">
      <c r="A24" t="s">
        <v>50</v>
      </c>
      <c r="B24" s="3">
        <v>45910</v>
      </c>
      <c r="C24">
        <v>21.98</v>
      </c>
      <c r="D24">
        <v>23.49</v>
      </c>
      <c r="E24">
        <v>21.92</v>
      </c>
      <c r="F24">
        <v>22.94</v>
      </c>
      <c r="G24">
        <v>21.87</v>
      </c>
      <c r="H24">
        <v>1.07</v>
      </c>
      <c r="I24">
        <v>4.8925</v>
      </c>
      <c r="J24">
        <v>274844.44</v>
      </c>
      <c r="K24">
        <v>629739.876</v>
      </c>
      <c r="L24" t="s">
        <v>103</v>
      </c>
      <c r="M24" t="s">
        <v>104</v>
      </c>
      <c r="N24" s="3">
        <v>45972</v>
      </c>
      <c r="O24">
        <v>23</v>
      </c>
      <c r="P24">
        <v>61</v>
      </c>
      <c r="Q24">
        <v>-38</v>
      </c>
      <c r="R24" t="s">
        <v>105</v>
      </c>
    </row>
    <row r="25" spans="1:18">
      <c r="A25" t="s">
        <v>50</v>
      </c>
      <c r="B25" s="3">
        <v>45911</v>
      </c>
      <c r="C25">
        <v>22.7</v>
      </c>
      <c r="D25">
        <v>23.77</v>
      </c>
      <c r="E25">
        <v>22.51</v>
      </c>
      <c r="F25">
        <v>23.73</v>
      </c>
      <c r="G25">
        <v>22.94</v>
      </c>
      <c r="H25">
        <v>0.79</v>
      </c>
      <c r="I25">
        <v>3.4438</v>
      </c>
      <c r="J25">
        <v>295114.5</v>
      </c>
      <c r="K25">
        <v>686908.62</v>
      </c>
      <c r="L25" t="s">
        <v>103</v>
      </c>
      <c r="M25" t="s">
        <v>104</v>
      </c>
      <c r="N25" s="3">
        <v>45972</v>
      </c>
      <c r="O25">
        <v>24</v>
      </c>
      <c r="P25">
        <v>61</v>
      </c>
      <c r="Q25">
        <v>-37</v>
      </c>
      <c r="R25" t="s">
        <v>105</v>
      </c>
    </row>
    <row r="26" spans="1:18">
      <c r="A26" t="s">
        <v>50</v>
      </c>
      <c r="B26" s="3">
        <v>45912</v>
      </c>
      <c r="C26">
        <v>23.56</v>
      </c>
      <c r="D26">
        <v>23.96</v>
      </c>
      <c r="E26">
        <v>23.43</v>
      </c>
      <c r="F26">
        <v>23.71</v>
      </c>
      <c r="G26">
        <v>23.73</v>
      </c>
      <c r="H26">
        <v>-0.02</v>
      </c>
      <c r="I26">
        <v>-0.0843</v>
      </c>
      <c r="J26">
        <v>228498.18</v>
      </c>
      <c r="K26">
        <v>541585.782</v>
      </c>
      <c r="L26" t="s">
        <v>103</v>
      </c>
      <c r="M26" t="s">
        <v>104</v>
      </c>
      <c r="N26" s="3">
        <v>45972</v>
      </c>
      <c r="O26">
        <v>25</v>
      </c>
      <c r="P26">
        <v>61</v>
      </c>
      <c r="Q26">
        <v>-36</v>
      </c>
      <c r="R26" t="s">
        <v>105</v>
      </c>
    </row>
    <row r="27" spans="1:18">
      <c r="A27" t="s">
        <v>50</v>
      </c>
      <c r="B27" s="3">
        <v>45915</v>
      </c>
      <c r="C27">
        <v>23.64</v>
      </c>
      <c r="D27">
        <v>23.69</v>
      </c>
      <c r="E27">
        <v>23.21</v>
      </c>
      <c r="F27">
        <v>23.33</v>
      </c>
      <c r="G27">
        <v>23.71</v>
      </c>
      <c r="H27">
        <v>-0.38</v>
      </c>
      <c r="I27">
        <v>-1.6027</v>
      </c>
      <c r="J27">
        <v>151589.48</v>
      </c>
      <c r="K27">
        <v>354465.08</v>
      </c>
      <c r="L27" t="s">
        <v>103</v>
      </c>
      <c r="M27" t="s">
        <v>104</v>
      </c>
      <c r="N27" s="3">
        <v>45972</v>
      </c>
      <c r="O27">
        <v>26</v>
      </c>
      <c r="P27">
        <v>61</v>
      </c>
      <c r="Q27">
        <v>-35</v>
      </c>
      <c r="R27" t="s">
        <v>105</v>
      </c>
    </row>
    <row r="28" spans="1:18">
      <c r="A28" t="s">
        <v>50</v>
      </c>
      <c r="B28" s="3">
        <v>45916</v>
      </c>
      <c r="C28">
        <v>23.25</v>
      </c>
      <c r="D28">
        <v>23.72</v>
      </c>
      <c r="E28">
        <v>23.16</v>
      </c>
      <c r="F28">
        <v>23.51</v>
      </c>
      <c r="G28">
        <v>23.33</v>
      </c>
      <c r="H28">
        <v>0.18</v>
      </c>
      <c r="I28">
        <v>0.7715</v>
      </c>
      <c r="J28">
        <v>142480.35</v>
      </c>
      <c r="K28">
        <v>335285.084</v>
      </c>
      <c r="L28" t="s">
        <v>103</v>
      </c>
      <c r="M28" t="s">
        <v>104</v>
      </c>
      <c r="N28" s="3">
        <v>45972</v>
      </c>
      <c r="O28">
        <v>27</v>
      </c>
      <c r="P28">
        <v>61</v>
      </c>
      <c r="Q28">
        <v>-34</v>
      </c>
      <c r="R28" t="s">
        <v>105</v>
      </c>
    </row>
    <row r="29" spans="1:18">
      <c r="A29" t="s">
        <v>50</v>
      </c>
      <c r="B29" s="3">
        <v>45917</v>
      </c>
      <c r="C29">
        <v>23.55</v>
      </c>
      <c r="D29">
        <v>23.76</v>
      </c>
      <c r="E29">
        <v>23.25</v>
      </c>
      <c r="F29">
        <v>23.43</v>
      </c>
      <c r="G29">
        <v>23.51</v>
      </c>
      <c r="H29">
        <v>-0.08</v>
      </c>
      <c r="I29">
        <v>-0.3403</v>
      </c>
      <c r="J29">
        <v>123552.11</v>
      </c>
      <c r="K29">
        <v>289513.291</v>
      </c>
      <c r="L29" t="s">
        <v>103</v>
      </c>
      <c r="M29" t="s">
        <v>104</v>
      </c>
      <c r="N29" s="3">
        <v>45972</v>
      </c>
      <c r="O29">
        <v>28</v>
      </c>
      <c r="P29">
        <v>61</v>
      </c>
      <c r="Q29">
        <v>-33</v>
      </c>
      <c r="R29" t="s">
        <v>105</v>
      </c>
    </row>
    <row r="30" spans="1:18">
      <c r="A30" t="s">
        <v>50</v>
      </c>
      <c r="B30" s="3">
        <v>45918</v>
      </c>
      <c r="C30">
        <v>23.43</v>
      </c>
      <c r="D30">
        <v>25.77</v>
      </c>
      <c r="E30">
        <v>23.32</v>
      </c>
      <c r="F30">
        <v>24.79</v>
      </c>
      <c r="G30">
        <v>23.43</v>
      </c>
      <c r="H30">
        <v>1.36</v>
      </c>
      <c r="I30">
        <v>5.8045</v>
      </c>
      <c r="J30">
        <v>663311.6</v>
      </c>
      <c r="K30">
        <v>1651149.272</v>
      </c>
      <c r="L30" t="s">
        <v>103</v>
      </c>
      <c r="M30" t="s">
        <v>104</v>
      </c>
      <c r="N30" s="3">
        <v>45972</v>
      </c>
      <c r="O30">
        <v>29</v>
      </c>
      <c r="P30">
        <v>61</v>
      </c>
      <c r="Q30">
        <v>-32</v>
      </c>
      <c r="R30" t="s">
        <v>105</v>
      </c>
    </row>
    <row r="31" spans="1:18">
      <c r="A31" t="s">
        <v>50</v>
      </c>
      <c r="B31" s="3">
        <v>45919</v>
      </c>
      <c r="C31">
        <v>24.8</v>
      </c>
      <c r="D31">
        <v>25.17</v>
      </c>
      <c r="E31">
        <v>24.55</v>
      </c>
      <c r="F31">
        <v>24.65</v>
      </c>
      <c r="G31">
        <v>24.79</v>
      </c>
      <c r="H31">
        <v>-0.14</v>
      </c>
      <c r="I31">
        <v>-0.5647</v>
      </c>
      <c r="J31">
        <v>320000.79</v>
      </c>
      <c r="K31">
        <v>794236.272</v>
      </c>
      <c r="L31" t="s">
        <v>103</v>
      </c>
      <c r="M31" t="s">
        <v>104</v>
      </c>
      <c r="N31" s="3">
        <v>45972</v>
      </c>
      <c r="O31">
        <v>30</v>
      </c>
      <c r="P31">
        <v>61</v>
      </c>
      <c r="Q31">
        <v>-31</v>
      </c>
      <c r="R31" t="s">
        <v>105</v>
      </c>
    </row>
    <row r="32" spans="1:18">
      <c r="A32" t="s">
        <v>50</v>
      </c>
      <c r="B32" s="3">
        <v>45922</v>
      </c>
      <c r="C32">
        <v>24.69</v>
      </c>
      <c r="D32">
        <v>25.28</v>
      </c>
      <c r="E32">
        <v>24.31</v>
      </c>
      <c r="F32">
        <v>25.1</v>
      </c>
      <c r="G32">
        <v>24.65</v>
      </c>
      <c r="H32">
        <v>0.45</v>
      </c>
      <c r="I32">
        <v>1.8256</v>
      </c>
      <c r="J32">
        <v>304073.5</v>
      </c>
      <c r="K32">
        <v>758915.92</v>
      </c>
      <c r="L32" t="s">
        <v>103</v>
      </c>
      <c r="M32" t="s">
        <v>104</v>
      </c>
      <c r="N32" s="3">
        <v>45972</v>
      </c>
      <c r="O32">
        <v>31</v>
      </c>
      <c r="P32">
        <v>61</v>
      </c>
      <c r="Q32">
        <v>-30</v>
      </c>
      <c r="R32" t="s">
        <v>105</v>
      </c>
    </row>
    <row r="33" spans="1:18">
      <c r="A33" t="s">
        <v>50</v>
      </c>
      <c r="B33" s="3">
        <v>45923</v>
      </c>
      <c r="C33">
        <v>25</v>
      </c>
      <c r="D33">
        <v>25.25</v>
      </c>
      <c r="E33">
        <v>23.95</v>
      </c>
      <c r="F33">
        <v>24.94</v>
      </c>
      <c r="G33">
        <v>25.1</v>
      </c>
      <c r="H33">
        <v>-0.16</v>
      </c>
      <c r="I33">
        <v>-0.6375</v>
      </c>
      <c r="J33">
        <v>310866.65</v>
      </c>
      <c r="K33">
        <v>763617.862</v>
      </c>
      <c r="L33" t="s">
        <v>103</v>
      </c>
      <c r="M33" t="s">
        <v>104</v>
      </c>
      <c r="N33" s="3">
        <v>45972</v>
      </c>
      <c r="O33">
        <v>32</v>
      </c>
      <c r="P33">
        <v>61</v>
      </c>
      <c r="Q33">
        <v>-29</v>
      </c>
      <c r="R33" t="s">
        <v>105</v>
      </c>
    </row>
    <row r="34" spans="1:18">
      <c r="A34" t="s">
        <v>50</v>
      </c>
      <c r="B34" s="3">
        <v>45924</v>
      </c>
      <c r="C34">
        <v>24.6</v>
      </c>
      <c r="D34">
        <v>26.94</v>
      </c>
      <c r="E34">
        <v>24.32</v>
      </c>
      <c r="F34">
        <v>26.51</v>
      </c>
      <c r="G34">
        <v>24.94</v>
      </c>
      <c r="H34">
        <v>1.57</v>
      </c>
      <c r="I34">
        <v>6.2951</v>
      </c>
      <c r="J34">
        <v>587108</v>
      </c>
      <c r="K34">
        <v>1525555.607</v>
      </c>
      <c r="L34" t="s">
        <v>103</v>
      </c>
      <c r="M34" t="s">
        <v>104</v>
      </c>
      <c r="N34" s="3">
        <v>45972</v>
      </c>
      <c r="O34">
        <v>33</v>
      </c>
      <c r="P34">
        <v>61</v>
      </c>
      <c r="Q34">
        <v>-28</v>
      </c>
      <c r="R34" t="s">
        <v>105</v>
      </c>
    </row>
    <row r="35" spans="1:18">
      <c r="A35" t="s">
        <v>50</v>
      </c>
      <c r="B35" s="3">
        <v>45925</v>
      </c>
      <c r="C35">
        <v>26.3</v>
      </c>
      <c r="D35">
        <v>26.79</v>
      </c>
      <c r="E35">
        <v>26.04</v>
      </c>
      <c r="F35">
        <v>26.17</v>
      </c>
      <c r="G35">
        <v>26.51</v>
      </c>
      <c r="H35">
        <v>-0.34</v>
      </c>
      <c r="I35">
        <v>-1.2825</v>
      </c>
      <c r="J35">
        <v>288549.91</v>
      </c>
      <c r="K35">
        <v>759386.351</v>
      </c>
      <c r="L35" t="s">
        <v>103</v>
      </c>
      <c r="M35" t="s">
        <v>104</v>
      </c>
      <c r="N35" s="3">
        <v>45972</v>
      </c>
      <c r="O35">
        <v>34</v>
      </c>
      <c r="P35">
        <v>61</v>
      </c>
      <c r="Q35">
        <v>-27</v>
      </c>
      <c r="R35" t="s">
        <v>105</v>
      </c>
    </row>
    <row r="36" spans="1:18">
      <c r="A36" t="s">
        <v>50</v>
      </c>
      <c r="B36" s="3">
        <v>45926</v>
      </c>
      <c r="C36">
        <v>26.13</v>
      </c>
      <c r="D36">
        <v>26.13</v>
      </c>
      <c r="E36">
        <v>25.29</v>
      </c>
      <c r="F36">
        <v>25.29</v>
      </c>
      <c r="G36">
        <v>26.17</v>
      </c>
      <c r="H36">
        <v>-0.88</v>
      </c>
      <c r="I36">
        <v>-3.3626</v>
      </c>
      <c r="J36">
        <v>199997.18</v>
      </c>
      <c r="K36">
        <v>512706.897</v>
      </c>
      <c r="L36" t="s">
        <v>103</v>
      </c>
      <c r="M36" t="s">
        <v>104</v>
      </c>
      <c r="N36" s="3">
        <v>45972</v>
      </c>
      <c r="O36">
        <v>35</v>
      </c>
      <c r="P36">
        <v>61</v>
      </c>
      <c r="Q36">
        <v>-26</v>
      </c>
      <c r="R36" t="s">
        <v>105</v>
      </c>
    </row>
    <row r="37" spans="1:18">
      <c r="A37" t="s">
        <v>50</v>
      </c>
      <c r="B37" s="3">
        <v>45929</v>
      </c>
      <c r="C37">
        <v>25.31</v>
      </c>
      <c r="D37">
        <v>25.58</v>
      </c>
      <c r="E37">
        <v>24.99</v>
      </c>
      <c r="F37">
        <v>25.21</v>
      </c>
      <c r="G37">
        <v>25.29</v>
      </c>
      <c r="H37">
        <v>-0.08</v>
      </c>
      <c r="I37">
        <v>-0.3163</v>
      </c>
      <c r="J37">
        <v>185356.09</v>
      </c>
      <c r="K37">
        <v>467462.372</v>
      </c>
      <c r="L37" t="s">
        <v>103</v>
      </c>
      <c r="M37" t="s">
        <v>104</v>
      </c>
      <c r="N37" s="3">
        <v>45972</v>
      </c>
      <c r="O37">
        <v>36</v>
      </c>
      <c r="P37">
        <v>61</v>
      </c>
      <c r="Q37">
        <v>-25</v>
      </c>
      <c r="R37" t="s">
        <v>105</v>
      </c>
    </row>
    <row r="38" spans="1:18">
      <c r="A38" t="s">
        <v>50</v>
      </c>
      <c r="B38" s="3">
        <v>45930</v>
      </c>
      <c r="C38">
        <v>25.37</v>
      </c>
      <c r="D38">
        <v>25.54</v>
      </c>
      <c r="E38">
        <v>24.81</v>
      </c>
      <c r="F38">
        <v>24.81</v>
      </c>
      <c r="G38">
        <v>25.21</v>
      </c>
      <c r="H38">
        <v>-0.4</v>
      </c>
      <c r="I38">
        <v>-1.5867</v>
      </c>
      <c r="J38">
        <v>196807.83</v>
      </c>
      <c r="K38">
        <v>493910.174</v>
      </c>
      <c r="L38" t="s">
        <v>103</v>
      </c>
      <c r="M38" t="s">
        <v>104</v>
      </c>
      <c r="N38" s="3">
        <v>45972</v>
      </c>
      <c r="O38">
        <v>37</v>
      </c>
      <c r="P38">
        <v>61</v>
      </c>
      <c r="Q38">
        <v>-24</v>
      </c>
      <c r="R38" t="s">
        <v>105</v>
      </c>
    </row>
    <row r="39" spans="1:18">
      <c r="A39" t="s">
        <v>50</v>
      </c>
      <c r="B39" s="3">
        <v>45939</v>
      </c>
      <c r="C39">
        <v>24.82</v>
      </c>
      <c r="D39">
        <v>25.07</v>
      </c>
      <c r="E39">
        <v>24.34</v>
      </c>
      <c r="F39">
        <v>24.78</v>
      </c>
      <c r="G39">
        <v>24.81</v>
      </c>
      <c r="H39">
        <v>-0.03</v>
      </c>
      <c r="I39">
        <v>-0.1209</v>
      </c>
      <c r="J39">
        <v>226884.67</v>
      </c>
      <c r="K39">
        <v>559557.348</v>
      </c>
      <c r="L39" t="s">
        <v>103</v>
      </c>
      <c r="M39" t="s">
        <v>104</v>
      </c>
      <c r="N39" s="3">
        <v>45972</v>
      </c>
      <c r="O39">
        <v>38</v>
      </c>
      <c r="P39">
        <v>61</v>
      </c>
      <c r="Q39">
        <v>-23</v>
      </c>
      <c r="R39" t="s">
        <v>105</v>
      </c>
    </row>
    <row r="40" spans="1:18">
      <c r="A40" t="s">
        <v>50</v>
      </c>
      <c r="B40" s="3">
        <v>45940</v>
      </c>
      <c r="C40">
        <v>24.61</v>
      </c>
      <c r="D40">
        <v>25.38</v>
      </c>
      <c r="E40">
        <v>24.1</v>
      </c>
      <c r="F40">
        <v>24.81</v>
      </c>
      <c r="G40">
        <v>24.78</v>
      </c>
      <c r="H40">
        <v>0.03</v>
      </c>
      <c r="I40">
        <v>0.1211</v>
      </c>
      <c r="J40">
        <v>231169.66</v>
      </c>
      <c r="K40">
        <v>570831.308</v>
      </c>
      <c r="L40" t="s">
        <v>103</v>
      </c>
      <c r="M40" t="s">
        <v>104</v>
      </c>
      <c r="N40" s="3">
        <v>45972</v>
      </c>
      <c r="O40">
        <v>39</v>
      </c>
      <c r="P40">
        <v>61</v>
      </c>
      <c r="Q40">
        <v>-22</v>
      </c>
      <c r="R40" t="s">
        <v>105</v>
      </c>
    </row>
    <row r="41" spans="1:18">
      <c r="A41" t="s">
        <v>50</v>
      </c>
      <c r="B41" s="3">
        <v>45943</v>
      </c>
      <c r="C41">
        <v>24</v>
      </c>
      <c r="D41">
        <v>24.45</v>
      </c>
      <c r="E41">
        <v>23.7</v>
      </c>
      <c r="F41">
        <v>24.36</v>
      </c>
      <c r="G41">
        <v>24.81</v>
      </c>
      <c r="H41">
        <v>-0.45</v>
      </c>
      <c r="I41">
        <v>-1.8138</v>
      </c>
      <c r="J41">
        <v>172153.1</v>
      </c>
      <c r="K41">
        <v>414653.379</v>
      </c>
      <c r="L41" t="s">
        <v>103</v>
      </c>
      <c r="M41" t="s">
        <v>104</v>
      </c>
      <c r="N41" s="3">
        <v>45972</v>
      </c>
      <c r="O41">
        <v>40</v>
      </c>
      <c r="P41">
        <v>61</v>
      </c>
      <c r="Q41">
        <v>-21</v>
      </c>
      <c r="R41" t="s">
        <v>105</v>
      </c>
    </row>
    <row r="42" spans="1:18">
      <c r="A42" t="s">
        <v>50</v>
      </c>
      <c r="B42" s="3">
        <v>45944</v>
      </c>
      <c r="C42">
        <v>24.4</v>
      </c>
      <c r="D42">
        <v>24.6</v>
      </c>
      <c r="E42">
        <v>23.3</v>
      </c>
      <c r="F42">
        <v>23.33</v>
      </c>
      <c r="G42">
        <v>24.36</v>
      </c>
      <c r="H42">
        <v>-1.03</v>
      </c>
      <c r="I42">
        <v>-4.2282</v>
      </c>
      <c r="J42">
        <v>171797.08</v>
      </c>
      <c r="K42">
        <v>409709.458</v>
      </c>
      <c r="L42" t="s">
        <v>103</v>
      </c>
      <c r="M42" t="s">
        <v>104</v>
      </c>
      <c r="N42" s="3">
        <v>45972</v>
      </c>
      <c r="O42">
        <v>41</v>
      </c>
      <c r="P42">
        <v>61</v>
      </c>
      <c r="Q42">
        <v>-20</v>
      </c>
      <c r="R42" t="s">
        <v>105</v>
      </c>
    </row>
    <row r="43" spans="1:18">
      <c r="A43" t="s">
        <v>50</v>
      </c>
      <c r="B43" s="3">
        <v>45945</v>
      </c>
      <c r="C43">
        <v>23.47</v>
      </c>
      <c r="D43">
        <v>23.81</v>
      </c>
      <c r="E43">
        <v>23.34</v>
      </c>
      <c r="F43">
        <v>23.66</v>
      </c>
      <c r="G43">
        <v>23.33</v>
      </c>
      <c r="H43">
        <v>0.33</v>
      </c>
      <c r="I43">
        <v>1.4145</v>
      </c>
      <c r="J43">
        <v>98911.99</v>
      </c>
      <c r="K43">
        <v>233419.708</v>
      </c>
      <c r="L43" t="s">
        <v>103</v>
      </c>
      <c r="M43" t="s">
        <v>104</v>
      </c>
      <c r="N43" s="3">
        <v>45972</v>
      </c>
      <c r="O43">
        <v>42</v>
      </c>
      <c r="P43">
        <v>61</v>
      </c>
      <c r="Q43">
        <v>-19</v>
      </c>
      <c r="R43" t="s">
        <v>105</v>
      </c>
    </row>
    <row r="44" spans="1:18">
      <c r="A44" t="s">
        <v>50</v>
      </c>
      <c r="B44" s="3">
        <v>45946</v>
      </c>
      <c r="C44">
        <v>23.74</v>
      </c>
      <c r="D44">
        <v>23.75</v>
      </c>
      <c r="E44">
        <v>23.24</v>
      </c>
      <c r="F44">
        <v>23.36</v>
      </c>
      <c r="G44">
        <v>23.66</v>
      </c>
      <c r="H44">
        <v>-0.3</v>
      </c>
      <c r="I44">
        <v>-1.268</v>
      </c>
      <c r="J44">
        <v>79508.42</v>
      </c>
      <c r="K44">
        <v>186360.001</v>
      </c>
      <c r="L44" t="s">
        <v>103</v>
      </c>
      <c r="M44" t="s">
        <v>104</v>
      </c>
      <c r="N44" s="3">
        <v>45972</v>
      </c>
      <c r="O44">
        <v>43</v>
      </c>
      <c r="P44">
        <v>61</v>
      </c>
      <c r="Q44">
        <v>-18</v>
      </c>
      <c r="R44" t="s">
        <v>105</v>
      </c>
    </row>
    <row r="45" spans="1:18">
      <c r="A45" t="s">
        <v>50</v>
      </c>
      <c r="B45" s="3">
        <v>45947</v>
      </c>
      <c r="C45">
        <v>23.5</v>
      </c>
      <c r="D45">
        <v>23.52</v>
      </c>
      <c r="E45">
        <v>22.74</v>
      </c>
      <c r="F45">
        <v>22.77</v>
      </c>
      <c r="G45">
        <v>23.36</v>
      </c>
      <c r="H45">
        <v>-0.59</v>
      </c>
      <c r="I45">
        <v>-2.5257</v>
      </c>
      <c r="J45">
        <v>106536.35</v>
      </c>
      <c r="K45">
        <v>245631.631</v>
      </c>
      <c r="L45" t="s">
        <v>103</v>
      </c>
      <c r="M45" t="s">
        <v>104</v>
      </c>
      <c r="N45" s="3">
        <v>45972</v>
      </c>
      <c r="O45">
        <v>44</v>
      </c>
      <c r="P45">
        <v>61</v>
      </c>
      <c r="Q45">
        <v>-17</v>
      </c>
      <c r="R45" t="s">
        <v>105</v>
      </c>
    </row>
    <row r="46" spans="1:18">
      <c r="A46" t="s">
        <v>50</v>
      </c>
      <c r="B46" s="3">
        <v>45950</v>
      </c>
      <c r="C46">
        <v>23.03</v>
      </c>
      <c r="D46">
        <v>23.23</v>
      </c>
      <c r="E46">
        <v>22.82</v>
      </c>
      <c r="F46">
        <v>23.05</v>
      </c>
      <c r="G46">
        <v>22.77</v>
      </c>
      <c r="H46">
        <v>0.28</v>
      </c>
      <c r="I46">
        <v>1.2297</v>
      </c>
      <c r="J46">
        <v>73454.79</v>
      </c>
      <c r="K46">
        <v>169291.085</v>
      </c>
      <c r="L46" t="s">
        <v>103</v>
      </c>
      <c r="M46" t="s">
        <v>104</v>
      </c>
      <c r="N46" s="3">
        <v>45972</v>
      </c>
      <c r="O46">
        <v>45</v>
      </c>
      <c r="P46">
        <v>61</v>
      </c>
      <c r="Q46">
        <v>-16</v>
      </c>
      <c r="R46" t="s">
        <v>105</v>
      </c>
    </row>
    <row r="47" spans="1:18">
      <c r="A47" t="s">
        <v>50</v>
      </c>
      <c r="B47" s="3">
        <v>45951</v>
      </c>
      <c r="C47">
        <v>23.03</v>
      </c>
      <c r="D47">
        <v>23.36</v>
      </c>
      <c r="E47">
        <v>22.98</v>
      </c>
      <c r="F47">
        <v>23.32</v>
      </c>
      <c r="G47">
        <v>23.05</v>
      </c>
      <c r="H47">
        <v>0.27</v>
      </c>
      <c r="I47">
        <v>1.1714</v>
      </c>
      <c r="J47">
        <v>88030.98</v>
      </c>
      <c r="K47">
        <v>204550.584</v>
      </c>
      <c r="L47" t="s">
        <v>103</v>
      </c>
      <c r="M47" t="s">
        <v>104</v>
      </c>
      <c r="N47" s="3">
        <v>45972</v>
      </c>
      <c r="O47">
        <v>46</v>
      </c>
      <c r="P47">
        <v>61</v>
      </c>
      <c r="Q47">
        <v>-15</v>
      </c>
      <c r="R47" t="s">
        <v>105</v>
      </c>
    </row>
    <row r="48" spans="1:18">
      <c r="A48" t="s">
        <v>50</v>
      </c>
      <c r="B48" s="3">
        <v>45952</v>
      </c>
      <c r="C48">
        <v>23.28</v>
      </c>
      <c r="D48">
        <v>23.86</v>
      </c>
      <c r="E48">
        <v>23.14</v>
      </c>
      <c r="F48">
        <v>23.78</v>
      </c>
      <c r="G48">
        <v>23.32</v>
      </c>
      <c r="H48">
        <v>0.46</v>
      </c>
      <c r="I48">
        <v>1.9726</v>
      </c>
      <c r="J48">
        <v>129483.76</v>
      </c>
      <c r="K48">
        <v>305191.474</v>
      </c>
      <c r="L48" t="s">
        <v>103</v>
      </c>
      <c r="M48" t="s">
        <v>104</v>
      </c>
      <c r="N48" s="3">
        <v>45972</v>
      </c>
      <c r="O48">
        <v>47</v>
      </c>
      <c r="P48">
        <v>61</v>
      </c>
      <c r="Q48">
        <v>-14</v>
      </c>
      <c r="R48" t="s">
        <v>105</v>
      </c>
    </row>
    <row r="49" spans="1:19">
      <c r="A49" t="s">
        <v>50</v>
      </c>
      <c r="B49" s="3">
        <v>45953</v>
      </c>
      <c r="C49">
        <v>23.78</v>
      </c>
      <c r="D49">
        <v>23.78</v>
      </c>
      <c r="E49">
        <v>23.4</v>
      </c>
      <c r="F49">
        <v>23.63</v>
      </c>
      <c r="G49">
        <v>23.78</v>
      </c>
      <c r="H49">
        <v>-0.15</v>
      </c>
      <c r="I49">
        <v>-0.6308</v>
      </c>
      <c r="J49">
        <v>74634.06</v>
      </c>
      <c r="K49">
        <v>176020.196</v>
      </c>
      <c r="L49" t="s">
        <v>103</v>
      </c>
      <c r="M49" t="s">
        <v>104</v>
      </c>
      <c r="N49" s="3">
        <v>45972</v>
      </c>
      <c r="O49">
        <v>48</v>
      </c>
      <c r="P49">
        <v>61</v>
      </c>
      <c r="Q49">
        <v>-13</v>
      </c>
      <c r="R49" t="s">
        <v>105</v>
      </c>
    </row>
    <row r="50" spans="1:19">
      <c r="A50" t="s">
        <v>50</v>
      </c>
      <c r="B50" s="3">
        <v>45954</v>
      </c>
      <c r="C50">
        <v>23.63</v>
      </c>
      <c r="D50">
        <v>23.95</v>
      </c>
      <c r="E50">
        <v>23.22</v>
      </c>
      <c r="F50">
        <v>23.42</v>
      </c>
      <c r="G50">
        <v>23.63</v>
      </c>
      <c r="H50">
        <v>-0.21</v>
      </c>
      <c r="I50">
        <v>-0.8887</v>
      </c>
      <c r="J50">
        <v>136441.47</v>
      </c>
      <c r="K50">
        <v>321730.177</v>
      </c>
      <c r="L50" t="s">
        <v>103</v>
      </c>
      <c r="M50" t="s">
        <v>104</v>
      </c>
      <c r="N50" s="3">
        <v>45972</v>
      </c>
      <c r="O50">
        <v>49</v>
      </c>
      <c r="P50">
        <v>61</v>
      </c>
      <c r="Q50">
        <v>-12</v>
      </c>
      <c r="R50" t="s">
        <v>105</v>
      </c>
    </row>
    <row r="51" spans="1:19">
      <c r="A51" t="s">
        <v>50</v>
      </c>
      <c r="B51" s="3">
        <v>45957</v>
      </c>
      <c r="C51">
        <v>23.42</v>
      </c>
      <c r="D51">
        <v>23.59</v>
      </c>
      <c r="E51">
        <v>23.27</v>
      </c>
      <c r="F51">
        <v>23.3</v>
      </c>
      <c r="G51">
        <v>23.42</v>
      </c>
      <c r="H51">
        <v>-0.12</v>
      </c>
      <c r="I51">
        <v>-0.5124</v>
      </c>
      <c r="J51">
        <v>125058.34</v>
      </c>
      <c r="K51">
        <v>292509.417</v>
      </c>
      <c r="L51" t="s">
        <v>103</v>
      </c>
      <c r="M51" t="s">
        <v>104</v>
      </c>
      <c r="N51" s="3">
        <v>45972</v>
      </c>
      <c r="O51">
        <v>50</v>
      </c>
      <c r="P51">
        <v>61</v>
      </c>
      <c r="Q51">
        <v>-11</v>
      </c>
      <c r="R51" t="s">
        <v>105</v>
      </c>
    </row>
    <row r="52" spans="1:19">
      <c r="A52" t="s">
        <v>50</v>
      </c>
      <c r="B52" s="3">
        <v>45958</v>
      </c>
      <c r="C52">
        <v>23.3</v>
      </c>
      <c r="D52">
        <v>23.76</v>
      </c>
      <c r="E52">
        <v>23.03</v>
      </c>
      <c r="F52">
        <v>23.43</v>
      </c>
      <c r="G52">
        <v>23.3</v>
      </c>
      <c r="H52">
        <v>0.13</v>
      </c>
      <c r="I52">
        <v>0.5579</v>
      </c>
      <c r="J52">
        <v>109255.58</v>
      </c>
      <c r="K52">
        <v>255378.985</v>
      </c>
      <c r="L52" t="s">
        <v>103</v>
      </c>
      <c r="M52" t="s">
        <v>104</v>
      </c>
      <c r="N52" s="3">
        <v>45972</v>
      </c>
      <c r="O52">
        <v>51</v>
      </c>
      <c r="P52">
        <v>61</v>
      </c>
      <c r="Q52">
        <v>-10</v>
      </c>
      <c r="R52" t="s">
        <v>105</v>
      </c>
    </row>
    <row r="53" spans="1:19">
      <c r="A53" t="s">
        <v>50</v>
      </c>
      <c r="B53" s="3">
        <v>45959</v>
      </c>
      <c r="C53">
        <v>23.3</v>
      </c>
      <c r="D53">
        <v>23.46</v>
      </c>
      <c r="E53">
        <v>22.62</v>
      </c>
      <c r="F53">
        <v>22.84</v>
      </c>
      <c r="G53">
        <v>23.43</v>
      </c>
      <c r="H53">
        <v>-0.59</v>
      </c>
      <c r="I53">
        <v>-2.5181</v>
      </c>
      <c r="J53">
        <v>177854.4</v>
      </c>
      <c r="K53">
        <v>407208.911</v>
      </c>
      <c r="L53" t="s">
        <v>103</v>
      </c>
      <c r="M53" t="s">
        <v>104</v>
      </c>
      <c r="N53" s="3">
        <v>45972</v>
      </c>
      <c r="O53">
        <v>52</v>
      </c>
      <c r="P53">
        <v>61</v>
      </c>
      <c r="Q53">
        <v>-9</v>
      </c>
      <c r="R53" t="s">
        <v>105</v>
      </c>
    </row>
    <row r="54" spans="1:19">
      <c r="A54" t="s">
        <v>50</v>
      </c>
      <c r="B54" s="3">
        <v>45960</v>
      </c>
      <c r="C54">
        <v>22.71</v>
      </c>
      <c r="D54">
        <v>23.15</v>
      </c>
      <c r="E54">
        <v>22.6</v>
      </c>
      <c r="F54">
        <v>22.9</v>
      </c>
      <c r="G54">
        <v>22.84</v>
      </c>
      <c r="H54">
        <v>0.06</v>
      </c>
      <c r="I54">
        <v>0.2627</v>
      </c>
      <c r="J54">
        <v>104415.44</v>
      </c>
      <c r="K54">
        <v>239349.021</v>
      </c>
      <c r="L54" t="s">
        <v>103</v>
      </c>
      <c r="M54" t="s">
        <v>104</v>
      </c>
      <c r="N54" s="3">
        <v>45972</v>
      </c>
      <c r="O54">
        <v>53</v>
      </c>
      <c r="P54">
        <v>61</v>
      </c>
      <c r="Q54">
        <v>-8</v>
      </c>
      <c r="R54" t="s">
        <v>105</v>
      </c>
    </row>
    <row r="55" spans="1:19">
      <c r="A55" t="s">
        <v>50</v>
      </c>
      <c r="B55" s="3">
        <v>45961</v>
      </c>
      <c r="C55">
        <v>22.87</v>
      </c>
      <c r="D55">
        <v>23.7</v>
      </c>
      <c r="E55">
        <v>22.81</v>
      </c>
      <c r="F55">
        <v>23.49</v>
      </c>
      <c r="G55">
        <v>22.9</v>
      </c>
      <c r="H55">
        <v>0.59</v>
      </c>
      <c r="I55">
        <v>2.5764</v>
      </c>
      <c r="J55">
        <v>143262.9</v>
      </c>
      <c r="K55">
        <v>334444.154</v>
      </c>
      <c r="L55" t="s">
        <v>103</v>
      </c>
      <c r="M55" t="s">
        <v>104</v>
      </c>
      <c r="N55" s="3">
        <v>45972</v>
      </c>
      <c r="O55">
        <v>54</v>
      </c>
      <c r="P55">
        <v>61</v>
      </c>
      <c r="Q55">
        <v>-7</v>
      </c>
      <c r="R55" t="s">
        <v>105</v>
      </c>
    </row>
    <row r="56" spans="1:19">
      <c r="A56" t="s">
        <v>50</v>
      </c>
      <c r="B56" s="3">
        <v>45964</v>
      </c>
      <c r="C56">
        <v>23.79</v>
      </c>
      <c r="D56">
        <v>24.1</v>
      </c>
      <c r="E56">
        <v>23.4</v>
      </c>
      <c r="F56">
        <v>24.06</v>
      </c>
      <c r="G56">
        <v>23.49</v>
      </c>
      <c r="H56">
        <v>0.57</v>
      </c>
      <c r="I56">
        <v>2.4266</v>
      </c>
      <c r="J56">
        <v>149159.52</v>
      </c>
      <c r="K56">
        <v>355225.977</v>
      </c>
      <c r="L56" t="s">
        <v>103</v>
      </c>
      <c r="M56" t="s">
        <v>104</v>
      </c>
      <c r="N56" s="3">
        <v>45972</v>
      </c>
      <c r="O56">
        <v>55</v>
      </c>
      <c r="P56">
        <v>61</v>
      </c>
      <c r="Q56">
        <v>-6</v>
      </c>
      <c r="R56" t="s">
        <v>105</v>
      </c>
    </row>
    <row r="57" spans="1:19">
      <c r="A57" t="s">
        <v>50</v>
      </c>
      <c r="B57" s="3">
        <v>45965</v>
      </c>
      <c r="C57">
        <v>24</v>
      </c>
      <c r="D57">
        <v>24.06</v>
      </c>
      <c r="E57">
        <v>23.66</v>
      </c>
      <c r="F57">
        <v>23.8</v>
      </c>
      <c r="G57">
        <v>24.06</v>
      </c>
      <c r="H57">
        <v>-0.26</v>
      </c>
      <c r="I57">
        <v>-1.0806</v>
      </c>
      <c r="J57">
        <v>82885.9</v>
      </c>
      <c r="K57">
        <v>197338.915</v>
      </c>
      <c r="L57" t="s">
        <v>103</v>
      </c>
      <c r="M57" t="s">
        <v>104</v>
      </c>
      <c r="N57" s="3">
        <v>45972</v>
      </c>
      <c r="O57">
        <v>56</v>
      </c>
      <c r="P57">
        <v>61</v>
      </c>
      <c r="Q57">
        <v>-5</v>
      </c>
      <c r="R57" t="s">
        <v>105</v>
      </c>
    </row>
    <row r="58" spans="1:19">
      <c r="A58" t="s">
        <v>50</v>
      </c>
      <c r="B58" s="3">
        <v>45966</v>
      </c>
      <c r="C58">
        <v>23.71</v>
      </c>
      <c r="D58">
        <v>24.5</v>
      </c>
      <c r="E58">
        <v>23.61</v>
      </c>
      <c r="F58">
        <v>24.23</v>
      </c>
      <c r="G58">
        <v>23.8</v>
      </c>
      <c r="H58">
        <v>0.43</v>
      </c>
      <c r="I58">
        <v>1.8067</v>
      </c>
      <c r="J58">
        <v>178778.85</v>
      </c>
      <c r="K58">
        <v>432124.67</v>
      </c>
      <c r="L58" t="s">
        <v>103</v>
      </c>
      <c r="M58" t="s">
        <v>104</v>
      </c>
      <c r="N58" s="3">
        <v>45972</v>
      </c>
      <c r="O58">
        <v>57</v>
      </c>
      <c r="P58">
        <v>61</v>
      </c>
      <c r="Q58">
        <v>-4</v>
      </c>
      <c r="R58" t="s">
        <v>105</v>
      </c>
    </row>
    <row r="59" spans="1:19">
      <c r="A59" t="s">
        <v>50</v>
      </c>
      <c r="B59" s="3">
        <v>45967</v>
      </c>
      <c r="C59">
        <v>24.3</v>
      </c>
      <c r="D59">
        <v>24.62</v>
      </c>
      <c r="E59">
        <v>24.1</v>
      </c>
      <c r="F59">
        <v>24.19</v>
      </c>
      <c r="G59">
        <v>24.23</v>
      </c>
      <c r="H59">
        <v>-0.04</v>
      </c>
      <c r="I59">
        <v>-0.1651</v>
      </c>
      <c r="J59">
        <v>147213.24</v>
      </c>
      <c r="K59">
        <v>358694.085</v>
      </c>
      <c r="L59" t="s">
        <v>103</v>
      </c>
      <c r="M59" t="s">
        <v>104</v>
      </c>
      <c r="N59" s="3">
        <v>45972</v>
      </c>
      <c r="O59">
        <v>58</v>
      </c>
      <c r="P59">
        <v>61</v>
      </c>
      <c r="Q59">
        <v>-3</v>
      </c>
      <c r="R59" t="s">
        <v>105</v>
      </c>
    </row>
    <row r="60" spans="1:19">
      <c r="A60" t="s">
        <v>50</v>
      </c>
      <c r="B60" s="3">
        <v>45968</v>
      </c>
      <c r="C60">
        <v>24.01</v>
      </c>
      <c r="D60">
        <v>24.4</v>
      </c>
      <c r="E60">
        <v>23.87</v>
      </c>
      <c r="F60">
        <v>24.2</v>
      </c>
      <c r="G60">
        <v>24.19</v>
      </c>
      <c r="H60">
        <v>0.01</v>
      </c>
      <c r="I60">
        <v>0.0413</v>
      </c>
      <c r="J60">
        <v>97537.33</v>
      </c>
      <c r="K60">
        <v>235958.564</v>
      </c>
      <c r="L60" t="s">
        <v>103</v>
      </c>
      <c r="M60" t="s">
        <v>104</v>
      </c>
      <c r="N60" s="3">
        <v>45972</v>
      </c>
      <c r="O60">
        <v>59</v>
      </c>
      <c r="P60">
        <v>61</v>
      </c>
      <c r="Q60">
        <v>-2</v>
      </c>
      <c r="R60" t="s">
        <v>105</v>
      </c>
    </row>
    <row r="61" spans="1:19">
      <c r="A61" t="s">
        <v>50</v>
      </c>
      <c r="B61" s="3">
        <v>45971</v>
      </c>
      <c r="C61">
        <v>24.25</v>
      </c>
      <c r="D61">
        <v>24.39</v>
      </c>
      <c r="E61">
        <v>23.86</v>
      </c>
      <c r="F61">
        <v>23.96</v>
      </c>
      <c r="G61">
        <v>24.2</v>
      </c>
      <c r="H61">
        <v>-0.24</v>
      </c>
      <c r="I61">
        <v>-0.9917</v>
      </c>
      <c r="J61">
        <v>95689.27</v>
      </c>
      <c r="K61">
        <v>230222.594</v>
      </c>
      <c r="L61" t="s">
        <v>103</v>
      </c>
      <c r="M61" t="s">
        <v>104</v>
      </c>
      <c r="N61" s="3">
        <v>45972</v>
      </c>
      <c r="O61">
        <v>60</v>
      </c>
      <c r="P61">
        <v>61</v>
      </c>
      <c r="Q61">
        <v>-1</v>
      </c>
      <c r="R61" t="s">
        <v>105</v>
      </c>
    </row>
    <row r="62" spans="1:19">
      <c r="A62" t="s">
        <v>50</v>
      </c>
      <c r="B62" s="3">
        <v>45972</v>
      </c>
      <c r="C62">
        <v>25</v>
      </c>
      <c r="D62">
        <v>25</v>
      </c>
      <c r="E62">
        <v>24.21</v>
      </c>
      <c r="F62">
        <v>24.26</v>
      </c>
      <c r="G62">
        <v>23.96</v>
      </c>
      <c r="H62">
        <v>0.3</v>
      </c>
      <c r="I62">
        <v>1.2521</v>
      </c>
      <c r="J62">
        <v>225403.15</v>
      </c>
      <c r="K62">
        <v>552550.442</v>
      </c>
      <c r="L62" t="s">
        <v>103</v>
      </c>
      <c r="M62" t="s">
        <v>104</v>
      </c>
      <c r="N62" s="3">
        <v>45972</v>
      </c>
      <c r="O62">
        <v>61</v>
      </c>
      <c r="P62">
        <v>61</v>
      </c>
      <c r="Q62">
        <v>0</v>
      </c>
      <c r="R62" t="s">
        <v>106</v>
      </c>
      <c r="S62" t="s">
        <v>150</v>
      </c>
    </row>
    <row r="63" spans="1:19">
      <c r="A63" t="s">
        <v>50</v>
      </c>
      <c r="B63" s="3">
        <v>45973</v>
      </c>
      <c r="C63">
        <v>23.92</v>
      </c>
      <c r="D63">
        <v>23.98</v>
      </c>
      <c r="E63">
        <v>23.19</v>
      </c>
      <c r="F63">
        <v>23.43</v>
      </c>
      <c r="G63">
        <v>24.26</v>
      </c>
      <c r="H63">
        <v>-0.83</v>
      </c>
      <c r="I63">
        <v>-3.4213</v>
      </c>
      <c r="J63">
        <v>138830.78</v>
      </c>
      <c r="K63">
        <v>326368.653</v>
      </c>
      <c r="L63" t="s">
        <v>103</v>
      </c>
      <c r="M63" t="s">
        <v>104</v>
      </c>
      <c r="N63" s="3">
        <v>45972</v>
      </c>
      <c r="O63">
        <v>62</v>
      </c>
      <c r="P63">
        <v>61</v>
      </c>
      <c r="Q63">
        <v>1</v>
      </c>
      <c r="R63" t="s">
        <v>107</v>
      </c>
    </row>
    <row r="64" spans="1:19">
      <c r="A64" t="s">
        <v>50</v>
      </c>
      <c r="B64" s="3">
        <v>45974</v>
      </c>
      <c r="C64">
        <v>23.21</v>
      </c>
      <c r="D64">
        <v>23.42</v>
      </c>
      <c r="E64">
        <v>23.15</v>
      </c>
      <c r="F64">
        <v>23.31</v>
      </c>
      <c r="G64">
        <v>23.43</v>
      </c>
      <c r="H64">
        <v>-0.12</v>
      </c>
      <c r="I64">
        <v>-0.5122</v>
      </c>
      <c r="J64">
        <v>102493.5</v>
      </c>
      <c r="K64">
        <v>238246.878</v>
      </c>
      <c r="L64" t="s">
        <v>103</v>
      </c>
      <c r="M64" t="s">
        <v>104</v>
      </c>
      <c r="N64" s="3">
        <v>45972</v>
      </c>
      <c r="O64">
        <v>63</v>
      </c>
      <c r="P64">
        <v>61</v>
      </c>
      <c r="Q64">
        <v>2</v>
      </c>
      <c r="R64" t="s">
        <v>107</v>
      </c>
    </row>
    <row r="65" spans="1:18">
      <c r="A65" t="s">
        <v>50</v>
      </c>
      <c r="B65" s="3">
        <v>45975</v>
      </c>
      <c r="C65">
        <v>23.3</v>
      </c>
      <c r="D65">
        <v>23.45</v>
      </c>
      <c r="E65">
        <v>23.16</v>
      </c>
      <c r="F65">
        <v>23.2</v>
      </c>
      <c r="G65">
        <v>23.31</v>
      </c>
      <c r="H65">
        <v>-0.11</v>
      </c>
      <c r="I65">
        <v>-0.4719</v>
      </c>
      <c r="J65">
        <v>72213.91</v>
      </c>
      <c r="K65">
        <v>168325.856</v>
      </c>
      <c r="L65" t="s">
        <v>103</v>
      </c>
      <c r="M65" t="s">
        <v>104</v>
      </c>
      <c r="N65" s="3">
        <v>45972</v>
      </c>
      <c r="O65">
        <v>64</v>
      </c>
      <c r="P65">
        <v>61</v>
      </c>
      <c r="Q65">
        <v>3</v>
      </c>
      <c r="R65" t="s">
        <v>107</v>
      </c>
    </row>
  </sheetData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52</v>
      </c>
    </row>
    <row r="3" spans="1:2">
      <c r="A3" s="5" t="s">
        <v>75</v>
      </c>
      <c r="B3" s="6" t="s">
        <v>53</v>
      </c>
    </row>
    <row r="4" spans="1:2">
      <c r="A4" s="5" t="s">
        <v>2</v>
      </c>
      <c r="B4" s="7">
        <v>45958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45958</v>
      </c>
    </row>
    <row r="9" spans="1:2">
      <c r="A9" s="5" t="s">
        <v>1</v>
      </c>
      <c r="B9">
        <v>45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30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151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6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52</v>
      </c>
      <c r="B2" s="3">
        <v>45866</v>
      </c>
      <c r="C2">
        <v>34.96</v>
      </c>
      <c r="D2">
        <v>35.41</v>
      </c>
      <c r="E2">
        <v>34.75</v>
      </c>
      <c r="F2">
        <v>35.05</v>
      </c>
      <c r="G2">
        <v>35.12</v>
      </c>
      <c r="H2">
        <v>-0.07</v>
      </c>
      <c r="I2">
        <v>-0.1993</v>
      </c>
      <c r="J2">
        <v>74802.5</v>
      </c>
      <c r="K2">
        <v>262859.298</v>
      </c>
      <c r="L2" t="s">
        <v>103</v>
      </c>
      <c r="M2" t="s">
        <v>104</v>
      </c>
      <c r="N2" s="3">
        <v>45958</v>
      </c>
      <c r="O2">
        <v>1</v>
      </c>
      <c r="P2">
        <v>61</v>
      </c>
      <c r="Q2">
        <v>-60</v>
      </c>
      <c r="R2" t="s">
        <v>105</v>
      </c>
    </row>
    <row r="3" spans="1:19">
      <c r="A3" t="s">
        <v>52</v>
      </c>
      <c r="B3" s="3">
        <v>45867</v>
      </c>
      <c r="C3">
        <v>34.9</v>
      </c>
      <c r="D3">
        <v>35.39</v>
      </c>
      <c r="E3">
        <v>34.75</v>
      </c>
      <c r="F3">
        <v>35.38</v>
      </c>
      <c r="G3">
        <v>35.05</v>
      </c>
      <c r="H3">
        <v>0.33</v>
      </c>
      <c r="I3">
        <v>0.9415</v>
      </c>
      <c r="J3">
        <v>97246</v>
      </c>
      <c r="K3">
        <v>341327.11</v>
      </c>
      <c r="L3" t="s">
        <v>103</v>
      </c>
      <c r="M3" t="s">
        <v>104</v>
      </c>
      <c r="N3" s="3">
        <v>45958</v>
      </c>
      <c r="O3">
        <v>2</v>
      </c>
      <c r="P3">
        <v>61</v>
      </c>
      <c r="Q3">
        <v>-59</v>
      </c>
      <c r="R3" t="s">
        <v>105</v>
      </c>
    </row>
    <row r="4" spans="1:19">
      <c r="A4" t="s">
        <v>52</v>
      </c>
      <c r="B4" s="3">
        <v>45868</v>
      </c>
      <c r="C4">
        <v>35.3</v>
      </c>
      <c r="D4">
        <v>35.5</v>
      </c>
      <c r="E4">
        <v>34.43</v>
      </c>
      <c r="F4">
        <v>34.78</v>
      </c>
      <c r="G4">
        <v>35.38</v>
      </c>
      <c r="H4">
        <v>-0.6</v>
      </c>
      <c r="I4">
        <v>-1.6959</v>
      </c>
      <c r="J4">
        <v>98790.45</v>
      </c>
      <c r="K4">
        <v>345084.398</v>
      </c>
      <c r="L4" t="s">
        <v>103</v>
      </c>
      <c r="M4" t="s">
        <v>104</v>
      </c>
      <c r="N4" s="3">
        <v>45958</v>
      </c>
      <c r="O4">
        <v>3</v>
      </c>
      <c r="P4">
        <v>61</v>
      </c>
      <c r="Q4">
        <v>-58</v>
      </c>
      <c r="R4" t="s">
        <v>105</v>
      </c>
    </row>
    <row r="5" spans="1:19">
      <c r="A5" t="s">
        <v>52</v>
      </c>
      <c r="B5" s="3">
        <v>45869</v>
      </c>
      <c r="C5">
        <v>34.7</v>
      </c>
      <c r="D5">
        <v>36.44</v>
      </c>
      <c r="E5">
        <v>34.57</v>
      </c>
      <c r="F5">
        <v>34.96</v>
      </c>
      <c r="G5">
        <v>34.78</v>
      </c>
      <c r="H5">
        <v>0.18</v>
      </c>
      <c r="I5">
        <v>0.5175</v>
      </c>
      <c r="J5">
        <v>207096.08</v>
      </c>
      <c r="K5">
        <v>735746.725</v>
      </c>
      <c r="L5" t="s">
        <v>103</v>
      </c>
      <c r="M5" t="s">
        <v>104</v>
      </c>
      <c r="N5" s="3">
        <v>45958</v>
      </c>
      <c r="O5">
        <v>4</v>
      </c>
      <c r="P5">
        <v>61</v>
      </c>
      <c r="Q5">
        <v>-57</v>
      </c>
      <c r="R5" t="s">
        <v>105</v>
      </c>
    </row>
    <row r="6" spans="1:19">
      <c r="A6" t="s">
        <v>52</v>
      </c>
      <c r="B6" s="3">
        <v>45870</v>
      </c>
      <c r="C6">
        <v>34.96</v>
      </c>
      <c r="D6">
        <v>37.21</v>
      </c>
      <c r="E6">
        <v>34.66</v>
      </c>
      <c r="F6">
        <v>36</v>
      </c>
      <c r="G6">
        <v>34.96</v>
      </c>
      <c r="H6">
        <v>1.04</v>
      </c>
      <c r="I6">
        <v>2.9748</v>
      </c>
      <c r="J6">
        <v>277350.41</v>
      </c>
      <c r="K6">
        <v>997591.512</v>
      </c>
      <c r="L6" t="s">
        <v>103</v>
      </c>
      <c r="M6" t="s">
        <v>104</v>
      </c>
      <c r="N6" s="3">
        <v>45958</v>
      </c>
      <c r="O6">
        <v>5</v>
      </c>
      <c r="P6">
        <v>61</v>
      </c>
      <c r="Q6">
        <v>-56</v>
      </c>
      <c r="R6" t="s">
        <v>105</v>
      </c>
    </row>
    <row r="7" spans="1:19">
      <c r="A7" t="s">
        <v>52</v>
      </c>
      <c r="B7" s="3">
        <v>45873</v>
      </c>
      <c r="C7">
        <v>35.65</v>
      </c>
      <c r="D7">
        <v>36.21</v>
      </c>
      <c r="E7">
        <v>34.68</v>
      </c>
      <c r="F7">
        <v>35.23</v>
      </c>
      <c r="G7">
        <v>36</v>
      </c>
      <c r="H7">
        <v>-0.77</v>
      </c>
      <c r="I7">
        <v>-2.1389</v>
      </c>
      <c r="J7">
        <v>175486.11</v>
      </c>
      <c r="K7">
        <v>616114.27</v>
      </c>
      <c r="L7" t="s">
        <v>103</v>
      </c>
      <c r="M7" t="s">
        <v>104</v>
      </c>
      <c r="N7" s="3">
        <v>45958</v>
      </c>
      <c r="O7">
        <v>6</v>
      </c>
      <c r="P7">
        <v>61</v>
      </c>
      <c r="Q7">
        <v>-55</v>
      </c>
      <c r="R7" t="s">
        <v>105</v>
      </c>
    </row>
    <row r="8" spans="1:19">
      <c r="A8" t="s">
        <v>52</v>
      </c>
      <c r="B8" s="3">
        <v>45874</v>
      </c>
      <c r="C8">
        <v>35.23</v>
      </c>
      <c r="D8">
        <v>35.23</v>
      </c>
      <c r="E8">
        <v>34.41</v>
      </c>
      <c r="F8">
        <v>34.62</v>
      </c>
      <c r="G8">
        <v>35.23</v>
      </c>
      <c r="H8">
        <v>-0.61</v>
      </c>
      <c r="I8">
        <v>-1.7315</v>
      </c>
      <c r="J8">
        <v>134215.69</v>
      </c>
      <c r="K8">
        <v>466175.949</v>
      </c>
      <c r="L8" t="s">
        <v>103</v>
      </c>
      <c r="M8" t="s">
        <v>104</v>
      </c>
      <c r="N8" s="3">
        <v>45958</v>
      </c>
      <c r="O8">
        <v>7</v>
      </c>
      <c r="P8">
        <v>61</v>
      </c>
      <c r="Q8">
        <v>-54</v>
      </c>
      <c r="R8" t="s">
        <v>105</v>
      </c>
    </row>
    <row r="9" spans="1:19">
      <c r="A9" t="s">
        <v>52</v>
      </c>
      <c r="B9" s="3">
        <v>45875</v>
      </c>
      <c r="C9">
        <v>34.63</v>
      </c>
      <c r="D9">
        <v>34.81</v>
      </c>
      <c r="E9">
        <v>34.51</v>
      </c>
      <c r="F9">
        <v>34.73</v>
      </c>
      <c r="G9">
        <v>34.62</v>
      </c>
      <c r="H9">
        <v>0.11</v>
      </c>
      <c r="I9">
        <v>0.3177</v>
      </c>
      <c r="J9">
        <v>69934.77</v>
      </c>
      <c r="K9">
        <v>242459.703</v>
      </c>
      <c r="L9" t="s">
        <v>103</v>
      </c>
      <c r="M9" t="s">
        <v>104</v>
      </c>
      <c r="N9" s="3">
        <v>45958</v>
      </c>
      <c r="O9">
        <v>8</v>
      </c>
      <c r="P9">
        <v>61</v>
      </c>
      <c r="Q9">
        <v>-53</v>
      </c>
      <c r="R9" t="s">
        <v>105</v>
      </c>
    </row>
    <row r="10" spans="1:19">
      <c r="A10" t="s">
        <v>52</v>
      </c>
      <c r="B10" s="3">
        <v>45876</v>
      </c>
      <c r="C10">
        <v>34.72</v>
      </c>
      <c r="D10">
        <v>34.73</v>
      </c>
      <c r="E10">
        <v>34.22</v>
      </c>
      <c r="F10">
        <v>34.55</v>
      </c>
      <c r="G10">
        <v>34.73</v>
      </c>
      <c r="H10">
        <v>-0.18</v>
      </c>
      <c r="I10">
        <v>-0.5183</v>
      </c>
      <c r="J10">
        <v>88275.52</v>
      </c>
      <c r="K10">
        <v>304754.579</v>
      </c>
      <c r="L10" t="s">
        <v>103</v>
      </c>
      <c r="M10" t="s">
        <v>104</v>
      </c>
      <c r="N10" s="3">
        <v>45958</v>
      </c>
      <c r="O10">
        <v>9</v>
      </c>
      <c r="P10">
        <v>61</v>
      </c>
      <c r="Q10">
        <v>-52</v>
      </c>
      <c r="R10" t="s">
        <v>105</v>
      </c>
    </row>
    <row r="11" spans="1:19">
      <c r="A11" t="s">
        <v>52</v>
      </c>
      <c r="B11" s="3">
        <v>45877</v>
      </c>
      <c r="C11">
        <v>34.3</v>
      </c>
      <c r="D11">
        <v>34.7</v>
      </c>
      <c r="E11">
        <v>34.1</v>
      </c>
      <c r="F11">
        <v>34.37</v>
      </c>
      <c r="G11">
        <v>34.55</v>
      </c>
      <c r="H11">
        <v>-0.18</v>
      </c>
      <c r="I11">
        <v>-0.521</v>
      </c>
      <c r="J11">
        <v>67517.04</v>
      </c>
      <c r="K11">
        <v>231951.67</v>
      </c>
      <c r="L11" t="s">
        <v>103</v>
      </c>
      <c r="M11" t="s">
        <v>104</v>
      </c>
      <c r="N11" s="3">
        <v>45958</v>
      </c>
      <c r="O11">
        <v>10</v>
      </c>
      <c r="P11">
        <v>61</v>
      </c>
      <c r="Q11">
        <v>-51</v>
      </c>
      <c r="R11" t="s">
        <v>105</v>
      </c>
    </row>
    <row r="12" spans="1:19">
      <c r="A12" t="s">
        <v>52</v>
      </c>
      <c r="B12" s="3">
        <v>45880</v>
      </c>
      <c r="C12">
        <v>34.2</v>
      </c>
      <c r="D12">
        <v>34.7</v>
      </c>
      <c r="E12">
        <v>34.18</v>
      </c>
      <c r="F12">
        <v>34.59</v>
      </c>
      <c r="G12">
        <v>34.37</v>
      </c>
      <c r="H12">
        <v>0.22</v>
      </c>
      <c r="I12">
        <v>0.6401</v>
      </c>
      <c r="J12">
        <v>70150.18</v>
      </c>
      <c r="K12">
        <v>242058.046</v>
      </c>
      <c r="L12" t="s">
        <v>103</v>
      </c>
      <c r="M12" t="s">
        <v>104</v>
      </c>
      <c r="N12" s="3">
        <v>45958</v>
      </c>
      <c r="O12">
        <v>11</v>
      </c>
      <c r="P12">
        <v>61</v>
      </c>
      <c r="Q12">
        <v>-50</v>
      </c>
      <c r="R12" t="s">
        <v>105</v>
      </c>
    </row>
    <row r="13" spans="1:19">
      <c r="A13" t="s">
        <v>52</v>
      </c>
      <c r="B13" s="3">
        <v>45881</v>
      </c>
      <c r="C13">
        <v>34.59</v>
      </c>
      <c r="D13">
        <v>34.88</v>
      </c>
      <c r="E13">
        <v>34.14</v>
      </c>
      <c r="F13">
        <v>34.74</v>
      </c>
      <c r="G13">
        <v>34.59</v>
      </c>
      <c r="H13">
        <v>0.15</v>
      </c>
      <c r="I13">
        <v>0.4337</v>
      </c>
      <c r="J13">
        <v>102925</v>
      </c>
      <c r="K13">
        <v>354624.726</v>
      </c>
      <c r="L13" t="s">
        <v>103</v>
      </c>
      <c r="M13" t="s">
        <v>104</v>
      </c>
      <c r="N13" s="3">
        <v>45958</v>
      </c>
      <c r="O13">
        <v>12</v>
      </c>
      <c r="P13">
        <v>61</v>
      </c>
      <c r="Q13">
        <v>-49</v>
      </c>
      <c r="R13" t="s">
        <v>105</v>
      </c>
    </row>
    <row r="14" spans="1:19">
      <c r="A14" t="s">
        <v>52</v>
      </c>
      <c r="B14" s="3">
        <v>45882</v>
      </c>
      <c r="C14">
        <v>34.87</v>
      </c>
      <c r="D14">
        <v>35.45</v>
      </c>
      <c r="E14">
        <v>34.6</v>
      </c>
      <c r="F14">
        <v>35.19</v>
      </c>
      <c r="G14">
        <v>34.74</v>
      </c>
      <c r="H14">
        <v>0.45</v>
      </c>
      <c r="I14">
        <v>1.2953</v>
      </c>
      <c r="J14">
        <v>132734.85</v>
      </c>
      <c r="K14">
        <v>464251.847</v>
      </c>
      <c r="L14" t="s">
        <v>103</v>
      </c>
      <c r="M14" t="s">
        <v>104</v>
      </c>
      <c r="N14" s="3">
        <v>45958</v>
      </c>
      <c r="O14">
        <v>13</v>
      </c>
      <c r="P14">
        <v>61</v>
      </c>
      <c r="Q14">
        <v>-48</v>
      </c>
      <c r="R14" t="s">
        <v>105</v>
      </c>
    </row>
    <row r="15" spans="1:19">
      <c r="A15" t="s">
        <v>52</v>
      </c>
      <c r="B15" s="3">
        <v>45883</v>
      </c>
      <c r="C15">
        <v>35.87</v>
      </c>
      <c r="D15">
        <v>36.88</v>
      </c>
      <c r="E15">
        <v>35.36</v>
      </c>
      <c r="F15">
        <v>35.38</v>
      </c>
      <c r="G15">
        <v>35.19</v>
      </c>
      <c r="H15">
        <v>0.19</v>
      </c>
      <c r="I15">
        <v>0.5399</v>
      </c>
      <c r="J15">
        <v>272996.41</v>
      </c>
      <c r="K15">
        <v>986945.985</v>
      </c>
      <c r="L15" t="s">
        <v>103</v>
      </c>
      <c r="M15" t="s">
        <v>104</v>
      </c>
      <c r="N15" s="3">
        <v>45958</v>
      </c>
      <c r="O15">
        <v>14</v>
      </c>
      <c r="P15">
        <v>61</v>
      </c>
      <c r="Q15">
        <v>-47</v>
      </c>
      <c r="R15" t="s">
        <v>105</v>
      </c>
    </row>
    <row r="16" spans="1:19">
      <c r="A16" t="s">
        <v>52</v>
      </c>
      <c r="B16" s="3">
        <v>45884</v>
      </c>
      <c r="C16">
        <v>35.27</v>
      </c>
      <c r="D16">
        <v>38.92</v>
      </c>
      <c r="E16">
        <v>35.25</v>
      </c>
      <c r="F16">
        <v>38.92</v>
      </c>
      <c r="G16">
        <v>35.38</v>
      </c>
      <c r="H16">
        <v>3.54</v>
      </c>
      <c r="I16">
        <v>10.0057</v>
      </c>
      <c r="J16">
        <v>474513.82</v>
      </c>
      <c r="K16">
        <v>1790331.02</v>
      </c>
      <c r="L16" t="s">
        <v>103</v>
      </c>
      <c r="M16" t="s">
        <v>104</v>
      </c>
      <c r="N16" s="3">
        <v>45958</v>
      </c>
      <c r="O16">
        <v>15</v>
      </c>
      <c r="P16">
        <v>61</v>
      </c>
      <c r="Q16">
        <v>-46</v>
      </c>
      <c r="R16" t="s">
        <v>105</v>
      </c>
    </row>
    <row r="17" spans="1:18">
      <c r="A17" t="s">
        <v>52</v>
      </c>
      <c r="B17" s="3">
        <v>45887</v>
      </c>
      <c r="C17">
        <v>40</v>
      </c>
      <c r="D17">
        <v>40.72</v>
      </c>
      <c r="E17">
        <v>39.31</v>
      </c>
      <c r="F17">
        <v>39.88</v>
      </c>
      <c r="G17">
        <v>38.92</v>
      </c>
      <c r="H17">
        <v>0.96</v>
      </c>
      <c r="I17">
        <v>2.4666</v>
      </c>
      <c r="J17">
        <v>567256.96</v>
      </c>
      <c r="K17">
        <v>2271347.819</v>
      </c>
      <c r="L17" t="s">
        <v>103</v>
      </c>
      <c r="M17" t="s">
        <v>104</v>
      </c>
      <c r="N17" s="3">
        <v>45958</v>
      </c>
      <c r="O17">
        <v>16</v>
      </c>
      <c r="P17">
        <v>61</v>
      </c>
      <c r="Q17">
        <v>-45</v>
      </c>
      <c r="R17" t="s">
        <v>105</v>
      </c>
    </row>
    <row r="18" spans="1:18">
      <c r="A18" t="s">
        <v>52</v>
      </c>
      <c r="B18" s="3">
        <v>45888</v>
      </c>
      <c r="C18">
        <v>39.2</v>
      </c>
      <c r="D18">
        <v>42.09</v>
      </c>
      <c r="E18">
        <v>39.2</v>
      </c>
      <c r="F18">
        <v>40.75</v>
      </c>
      <c r="G18">
        <v>39.88</v>
      </c>
      <c r="H18">
        <v>0.87</v>
      </c>
      <c r="I18">
        <v>2.1815</v>
      </c>
      <c r="J18">
        <v>381320.89</v>
      </c>
      <c r="K18">
        <v>1561302.437</v>
      </c>
      <c r="L18" t="s">
        <v>103</v>
      </c>
      <c r="M18" t="s">
        <v>104</v>
      </c>
      <c r="N18" s="3">
        <v>45958</v>
      </c>
      <c r="O18">
        <v>17</v>
      </c>
      <c r="P18">
        <v>61</v>
      </c>
      <c r="Q18">
        <v>-44</v>
      </c>
      <c r="R18" t="s">
        <v>105</v>
      </c>
    </row>
    <row r="19" spans="1:18">
      <c r="A19" t="s">
        <v>52</v>
      </c>
      <c r="B19" s="3">
        <v>45889</v>
      </c>
      <c r="C19">
        <v>40</v>
      </c>
      <c r="D19">
        <v>40.75</v>
      </c>
      <c r="E19">
        <v>39.21</v>
      </c>
      <c r="F19">
        <v>39.92</v>
      </c>
      <c r="G19">
        <v>40.75</v>
      </c>
      <c r="H19">
        <v>-0.83</v>
      </c>
      <c r="I19">
        <v>-2.0368</v>
      </c>
      <c r="J19">
        <v>238791.62</v>
      </c>
      <c r="K19">
        <v>951649.116</v>
      </c>
      <c r="L19" t="s">
        <v>103</v>
      </c>
      <c r="M19" t="s">
        <v>104</v>
      </c>
      <c r="N19" s="3">
        <v>45958</v>
      </c>
      <c r="O19">
        <v>18</v>
      </c>
      <c r="P19">
        <v>61</v>
      </c>
      <c r="Q19">
        <v>-43</v>
      </c>
      <c r="R19" t="s">
        <v>105</v>
      </c>
    </row>
    <row r="20" spans="1:18">
      <c r="A20" t="s">
        <v>52</v>
      </c>
      <c r="B20" s="3">
        <v>45890</v>
      </c>
      <c r="C20">
        <v>40</v>
      </c>
      <c r="D20">
        <v>43.91</v>
      </c>
      <c r="E20">
        <v>39.71</v>
      </c>
      <c r="F20">
        <v>42.55</v>
      </c>
      <c r="G20">
        <v>39.92</v>
      </c>
      <c r="H20">
        <v>2.63</v>
      </c>
      <c r="I20">
        <v>6.5882</v>
      </c>
      <c r="J20">
        <v>576111.56</v>
      </c>
      <c r="K20">
        <v>2448466.809</v>
      </c>
      <c r="L20" t="s">
        <v>103</v>
      </c>
      <c r="M20" t="s">
        <v>104</v>
      </c>
      <c r="N20" s="3">
        <v>45958</v>
      </c>
      <c r="O20">
        <v>19</v>
      </c>
      <c r="P20">
        <v>61</v>
      </c>
      <c r="Q20">
        <v>-42</v>
      </c>
      <c r="R20" t="s">
        <v>105</v>
      </c>
    </row>
    <row r="21" spans="1:18">
      <c r="A21" t="s">
        <v>52</v>
      </c>
      <c r="B21" s="3">
        <v>45891</v>
      </c>
      <c r="C21">
        <v>42.02</v>
      </c>
      <c r="D21">
        <v>43.49</v>
      </c>
      <c r="E21">
        <v>41.96</v>
      </c>
      <c r="F21">
        <v>42.82</v>
      </c>
      <c r="G21">
        <v>42.55</v>
      </c>
      <c r="H21">
        <v>0.27</v>
      </c>
      <c r="I21">
        <v>0.6345</v>
      </c>
      <c r="J21">
        <v>395703</v>
      </c>
      <c r="K21">
        <v>1692216.569</v>
      </c>
      <c r="L21" t="s">
        <v>103</v>
      </c>
      <c r="M21" t="s">
        <v>104</v>
      </c>
      <c r="N21" s="3">
        <v>45958</v>
      </c>
      <c r="O21">
        <v>20</v>
      </c>
      <c r="P21">
        <v>61</v>
      </c>
      <c r="Q21">
        <v>-41</v>
      </c>
      <c r="R21" t="s">
        <v>105</v>
      </c>
    </row>
    <row r="22" spans="1:18">
      <c r="A22" t="s">
        <v>52</v>
      </c>
      <c r="B22" s="3">
        <v>45894</v>
      </c>
      <c r="C22">
        <v>42.79</v>
      </c>
      <c r="D22">
        <v>43.59</v>
      </c>
      <c r="E22">
        <v>41.71</v>
      </c>
      <c r="F22">
        <v>42.23</v>
      </c>
      <c r="G22">
        <v>42.82</v>
      </c>
      <c r="H22">
        <v>-0.59</v>
      </c>
      <c r="I22">
        <v>-1.3779</v>
      </c>
      <c r="J22">
        <v>308460.52</v>
      </c>
      <c r="K22">
        <v>1312034.14</v>
      </c>
      <c r="L22" t="s">
        <v>103</v>
      </c>
      <c r="M22" t="s">
        <v>104</v>
      </c>
      <c r="N22" s="3">
        <v>45958</v>
      </c>
      <c r="O22">
        <v>21</v>
      </c>
      <c r="P22">
        <v>61</v>
      </c>
      <c r="Q22">
        <v>-40</v>
      </c>
      <c r="R22" t="s">
        <v>105</v>
      </c>
    </row>
    <row r="23" spans="1:18">
      <c r="A23" t="s">
        <v>52</v>
      </c>
      <c r="B23" s="3">
        <v>45895</v>
      </c>
      <c r="C23">
        <v>42.25</v>
      </c>
      <c r="D23">
        <v>42.5</v>
      </c>
      <c r="E23">
        <v>40.01</v>
      </c>
      <c r="F23">
        <v>40.47</v>
      </c>
      <c r="G23">
        <v>42.23</v>
      </c>
      <c r="H23">
        <v>-1.76</v>
      </c>
      <c r="I23">
        <v>-4.1677</v>
      </c>
      <c r="J23">
        <v>313295.74</v>
      </c>
      <c r="K23">
        <v>1289967.592</v>
      </c>
      <c r="L23" t="s">
        <v>103</v>
      </c>
      <c r="M23" t="s">
        <v>104</v>
      </c>
      <c r="N23" s="3">
        <v>45958</v>
      </c>
      <c r="O23">
        <v>22</v>
      </c>
      <c r="P23">
        <v>61</v>
      </c>
      <c r="Q23">
        <v>-39</v>
      </c>
      <c r="R23" t="s">
        <v>105</v>
      </c>
    </row>
    <row r="24" spans="1:18">
      <c r="A24" t="s">
        <v>52</v>
      </c>
      <c r="B24" s="3">
        <v>45896</v>
      </c>
      <c r="C24">
        <v>40.47</v>
      </c>
      <c r="D24">
        <v>41.16</v>
      </c>
      <c r="E24">
        <v>39.5</v>
      </c>
      <c r="F24">
        <v>39.51</v>
      </c>
      <c r="G24">
        <v>40.47</v>
      </c>
      <c r="H24">
        <v>-0.96</v>
      </c>
      <c r="I24">
        <v>-2.3721</v>
      </c>
      <c r="J24">
        <v>200881.99</v>
      </c>
      <c r="K24">
        <v>813003.404</v>
      </c>
      <c r="L24" t="s">
        <v>103</v>
      </c>
      <c r="M24" t="s">
        <v>104</v>
      </c>
      <c r="N24" s="3">
        <v>45958</v>
      </c>
      <c r="O24">
        <v>23</v>
      </c>
      <c r="P24">
        <v>61</v>
      </c>
      <c r="Q24">
        <v>-38</v>
      </c>
      <c r="R24" t="s">
        <v>105</v>
      </c>
    </row>
    <row r="25" spans="1:18">
      <c r="A25" t="s">
        <v>52</v>
      </c>
      <c r="B25" s="3">
        <v>45897</v>
      </c>
      <c r="C25">
        <v>39.5</v>
      </c>
      <c r="D25">
        <v>40.53</v>
      </c>
      <c r="E25">
        <v>39.02</v>
      </c>
      <c r="F25">
        <v>40.53</v>
      </c>
      <c r="G25">
        <v>39.51</v>
      </c>
      <c r="H25">
        <v>1.02</v>
      </c>
      <c r="I25">
        <v>2.5816</v>
      </c>
      <c r="J25">
        <v>190046.93</v>
      </c>
      <c r="K25">
        <v>758277.252</v>
      </c>
      <c r="L25" t="s">
        <v>103</v>
      </c>
      <c r="M25" t="s">
        <v>104</v>
      </c>
      <c r="N25" s="3">
        <v>45958</v>
      </c>
      <c r="O25">
        <v>24</v>
      </c>
      <c r="P25">
        <v>61</v>
      </c>
      <c r="Q25">
        <v>-37</v>
      </c>
      <c r="R25" t="s">
        <v>105</v>
      </c>
    </row>
    <row r="26" spans="1:18">
      <c r="A26" t="s">
        <v>52</v>
      </c>
      <c r="B26" s="3">
        <v>45898</v>
      </c>
      <c r="C26">
        <v>41.3</v>
      </c>
      <c r="D26">
        <v>41.56</v>
      </c>
      <c r="E26">
        <v>40.3</v>
      </c>
      <c r="F26">
        <v>40.6</v>
      </c>
      <c r="G26">
        <v>40.53</v>
      </c>
      <c r="H26">
        <v>0.07</v>
      </c>
      <c r="I26">
        <v>0.1727</v>
      </c>
      <c r="J26">
        <v>211032.64</v>
      </c>
      <c r="K26">
        <v>864001.08</v>
      </c>
      <c r="L26" t="s">
        <v>103</v>
      </c>
      <c r="M26" t="s">
        <v>104</v>
      </c>
      <c r="N26" s="3">
        <v>45958</v>
      </c>
      <c r="O26">
        <v>25</v>
      </c>
      <c r="P26">
        <v>61</v>
      </c>
      <c r="Q26">
        <v>-36</v>
      </c>
      <c r="R26" t="s">
        <v>105</v>
      </c>
    </row>
    <row r="27" spans="1:18">
      <c r="A27" t="s">
        <v>52</v>
      </c>
      <c r="B27" s="3">
        <v>45901</v>
      </c>
      <c r="C27">
        <v>40.9</v>
      </c>
      <c r="D27">
        <v>43.75</v>
      </c>
      <c r="E27">
        <v>40.9</v>
      </c>
      <c r="F27">
        <v>41.98</v>
      </c>
      <c r="G27">
        <v>40.6</v>
      </c>
      <c r="H27">
        <v>1.38</v>
      </c>
      <c r="I27">
        <v>3.399</v>
      </c>
      <c r="J27">
        <v>272841.01</v>
      </c>
      <c r="K27">
        <v>1158494.061</v>
      </c>
      <c r="L27" t="s">
        <v>103</v>
      </c>
      <c r="M27" t="s">
        <v>104</v>
      </c>
      <c r="N27" s="3">
        <v>45958</v>
      </c>
      <c r="O27">
        <v>26</v>
      </c>
      <c r="P27">
        <v>61</v>
      </c>
      <c r="Q27">
        <v>-35</v>
      </c>
      <c r="R27" t="s">
        <v>105</v>
      </c>
    </row>
    <row r="28" spans="1:18">
      <c r="A28" t="s">
        <v>52</v>
      </c>
      <c r="B28" s="3">
        <v>45902</v>
      </c>
      <c r="C28">
        <v>41.57</v>
      </c>
      <c r="D28">
        <v>42.56</v>
      </c>
      <c r="E28">
        <v>39.4</v>
      </c>
      <c r="F28">
        <v>40.04</v>
      </c>
      <c r="G28">
        <v>41.98</v>
      </c>
      <c r="H28">
        <v>-1.94</v>
      </c>
      <c r="I28">
        <v>-4.6212</v>
      </c>
      <c r="J28">
        <v>199816.5</v>
      </c>
      <c r="K28">
        <v>814268.033</v>
      </c>
      <c r="L28" t="s">
        <v>103</v>
      </c>
      <c r="M28" t="s">
        <v>104</v>
      </c>
      <c r="N28" s="3">
        <v>45958</v>
      </c>
      <c r="O28">
        <v>27</v>
      </c>
      <c r="P28">
        <v>61</v>
      </c>
      <c r="Q28">
        <v>-34</v>
      </c>
      <c r="R28" t="s">
        <v>105</v>
      </c>
    </row>
    <row r="29" spans="1:18">
      <c r="A29" t="s">
        <v>52</v>
      </c>
      <c r="B29" s="3">
        <v>45903</v>
      </c>
      <c r="C29">
        <v>40.15</v>
      </c>
      <c r="D29">
        <v>40.66</v>
      </c>
      <c r="E29">
        <v>38.92</v>
      </c>
      <c r="F29">
        <v>39.34</v>
      </c>
      <c r="G29">
        <v>40.04</v>
      </c>
      <c r="H29">
        <v>-0.7</v>
      </c>
      <c r="I29">
        <v>-1.7483</v>
      </c>
      <c r="J29">
        <v>146746.13</v>
      </c>
      <c r="K29">
        <v>582408.637</v>
      </c>
      <c r="L29" t="s">
        <v>103</v>
      </c>
      <c r="M29" t="s">
        <v>104</v>
      </c>
      <c r="N29" s="3">
        <v>45958</v>
      </c>
      <c r="O29">
        <v>28</v>
      </c>
      <c r="P29">
        <v>61</v>
      </c>
      <c r="Q29">
        <v>-33</v>
      </c>
      <c r="R29" t="s">
        <v>105</v>
      </c>
    </row>
    <row r="30" spans="1:18">
      <c r="A30" t="s">
        <v>52</v>
      </c>
      <c r="B30" s="3">
        <v>45904</v>
      </c>
      <c r="C30">
        <v>39.35</v>
      </c>
      <c r="D30">
        <v>40.4</v>
      </c>
      <c r="E30">
        <v>36.95</v>
      </c>
      <c r="F30">
        <v>37.61</v>
      </c>
      <c r="G30">
        <v>39.34</v>
      </c>
      <c r="H30">
        <v>-1.73</v>
      </c>
      <c r="I30">
        <v>-4.3976</v>
      </c>
      <c r="J30">
        <v>173038.68</v>
      </c>
      <c r="K30">
        <v>668451.499</v>
      </c>
      <c r="L30" t="s">
        <v>103</v>
      </c>
      <c r="M30" t="s">
        <v>104</v>
      </c>
      <c r="N30" s="3">
        <v>45958</v>
      </c>
      <c r="O30">
        <v>29</v>
      </c>
      <c r="P30">
        <v>61</v>
      </c>
      <c r="Q30">
        <v>-32</v>
      </c>
      <c r="R30" t="s">
        <v>105</v>
      </c>
    </row>
    <row r="31" spans="1:18">
      <c r="A31" t="s">
        <v>52</v>
      </c>
      <c r="B31" s="3">
        <v>45905</v>
      </c>
      <c r="C31">
        <v>37.76</v>
      </c>
      <c r="D31">
        <v>39.74</v>
      </c>
      <c r="E31">
        <v>37.76</v>
      </c>
      <c r="F31">
        <v>39.51</v>
      </c>
      <c r="G31">
        <v>37.61</v>
      </c>
      <c r="H31">
        <v>1.9</v>
      </c>
      <c r="I31">
        <v>5.0518</v>
      </c>
      <c r="J31">
        <v>185343.78</v>
      </c>
      <c r="K31">
        <v>723291.187</v>
      </c>
      <c r="L31" t="s">
        <v>103</v>
      </c>
      <c r="M31" t="s">
        <v>104</v>
      </c>
      <c r="N31" s="3">
        <v>45958</v>
      </c>
      <c r="O31">
        <v>30</v>
      </c>
      <c r="P31">
        <v>61</v>
      </c>
      <c r="Q31">
        <v>-31</v>
      </c>
      <c r="R31" t="s">
        <v>105</v>
      </c>
    </row>
    <row r="32" spans="1:18">
      <c r="A32" t="s">
        <v>52</v>
      </c>
      <c r="B32" s="3">
        <v>45908</v>
      </c>
      <c r="C32">
        <v>40</v>
      </c>
      <c r="D32">
        <v>40</v>
      </c>
      <c r="E32">
        <v>38.42</v>
      </c>
      <c r="F32">
        <v>38.68</v>
      </c>
      <c r="G32">
        <v>39.51</v>
      </c>
      <c r="H32">
        <v>-0.83</v>
      </c>
      <c r="I32">
        <v>-2.1007</v>
      </c>
      <c r="J32">
        <v>182483.18</v>
      </c>
      <c r="K32">
        <v>709444.383</v>
      </c>
      <c r="L32" t="s">
        <v>103</v>
      </c>
      <c r="M32" t="s">
        <v>104</v>
      </c>
      <c r="N32" s="3">
        <v>45958</v>
      </c>
      <c r="O32">
        <v>31</v>
      </c>
      <c r="P32">
        <v>61</v>
      </c>
      <c r="Q32">
        <v>-30</v>
      </c>
      <c r="R32" t="s">
        <v>105</v>
      </c>
    </row>
    <row r="33" spans="1:18">
      <c r="A33" t="s">
        <v>52</v>
      </c>
      <c r="B33" s="3">
        <v>45909</v>
      </c>
      <c r="C33">
        <v>38.5</v>
      </c>
      <c r="D33">
        <v>38.58</v>
      </c>
      <c r="E33">
        <v>37.43</v>
      </c>
      <c r="F33">
        <v>37.47</v>
      </c>
      <c r="G33">
        <v>38.68</v>
      </c>
      <c r="H33">
        <v>-1.21</v>
      </c>
      <c r="I33">
        <v>-3.1282</v>
      </c>
      <c r="J33">
        <v>129465.94</v>
      </c>
      <c r="K33">
        <v>490428.232</v>
      </c>
      <c r="L33" t="s">
        <v>103</v>
      </c>
      <c r="M33" t="s">
        <v>104</v>
      </c>
      <c r="N33" s="3">
        <v>45958</v>
      </c>
      <c r="O33">
        <v>32</v>
      </c>
      <c r="P33">
        <v>61</v>
      </c>
      <c r="Q33">
        <v>-29</v>
      </c>
      <c r="R33" t="s">
        <v>105</v>
      </c>
    </row>
    <row r="34" spans="1:18">
      <c r="A34" t="s">
        <v>52</v>
      </c>
      <c r="B34" s="3">
        <v>45910</v>
      </c>
      <c r="C34">
        <v>37.42</v>
      </c>
      <c r="D34">
        <v>37.8</v>
      </c>
      <c r="E34">
        <v>36.76</v>
      </c>
      <c r="F34">
        <v>37.2</v>
      </c>
      <c r="G34">
        <v>37.47</v>
      </c>
      <c r="H34">
        <v>-0.27</v>
      </c>
      <c r="I34">
        <v>-0.7206</v>
      </c>
      <c r="J34">
        <v>102952.75</v>
      </c>
      <c r="K34">
        <v>383004.366</v>
      </c>
      <c r="L34" t="s">
        <v>103</v>
      </c>
      <c r="M34" t="s">
        <v>104</v>
      </c>
      <c r="N34" s="3">
        <v>45958</v>
      </c>
      <c r="O34">
        <v>33</v>
      </c>
      <c r="P34">
        <v>61</v>
      </c>
      <c r="Q34">
        <v>-28</v>
      </c>
      <c r="R34" t="s">
        <v>105</v>
      </c>
    </row>
    <row r="35" spans="1:18">
      <c r="A35" t="s">
        <v>52</v>
      </c>
      <c r="B35" s="3">
        <v>45911</v>
      </c>
      <c r="C35">
        <v>37.3</v>
      </c>
      <c r="D35">
        <v>38.99</v>
      </c>
      <c r="E35">
        <v>37.21</v>
      </c>
      <c r="F35">
        <v>38.79</v>
      </c>
      <c r="G35">
        <v>37.2</v>
      </c>
      <c r="H35">
        <v>1.59</v>
      </c>
      <c r="I35">
        <v>4.2742</v>
      </c>
      <c r="J35">
        <v>173418.56</v>
      </c>
      <c r="K35">
        <v>663226.411</v>
      </c>
      <c r="L35" t="s">
        <v>103</v>
      </c>
      <c r="M35" t="s">
        <v>104</v>
      </c>
      <c r="N35" s="3">
        <v>45958</v>
      </c>
      <c r="O35">
        <v>34</v>
      </c>
      <c r="P35">
        <v>61</v>
      </c>
      <c r="Q35">
        <v>-27</v>
      </c>
      <c r="R35" t="s">
        <v>105</v>
      </c>
    </row>
    <row r="36" spans="1:18">
      <c r="A36" t="s">
        <v>52</v>
      </c>
      <c r="B36" s="3">
        <v>45912</v>
      </c>
      <c r="C36">
        <v>38.81</v>
      </c>
      <c r="D36">
        <v>39.17</v>
      </c>
      <c r="E36">
        <v>38.25</v>
      </c>
      <c r="F36">
        <v>38.31</v>
      </c>
      <c r="G36">
        <v>38.79</v>
      </c>
      <c r="H36">
        <v>-0.48</v>
      </c>
      <c r="I36">
        <v>-1.2374</v>
      </c>
      <c r="J36">
        <v>127236.46</v>
      </c>
      <c r="K36">
        <v>491005.486</v>
      </c>
      <c r="L36" t="s">
        <v>103</v>
      </c>
      <c r="M36" t="s">
        <v>104</v>
      </c>
      <c r="N36" s="3">
        <v>45958</v>
      </c>
      <c r="O36">
        <v>35</v>
      </c>
      <c r="P36">
        <v>61</v>
      </c>
      <c r="Q36">
        <v>-26</v>
      </c>
      <c r="R36" t="s">
        <v>105</v>
      </c>
    </row>
    <row r="37" spans="1:18">
      <c r="A37" t="s">
        <v>52</v>
      </c>
      <c r="B37" s="3">
        <v>45915</v>
      </c>
      <c r="C37">
        <v>38.34</v>
      </c>
      <c r="D37">
        <v>38.99</v>
      </c>
      <c r="E37">
        <v>38</v>
      </c>
      <c r="F37">
        <v>38.5</v>
      </c>
      <c r="G37">
        <v>38.31</v>
      </c>
      <c r="H37">
        <v>0.19</v>
      </c>
      <c r="I37">
        <v>0.496</v>
      </c>
      <c r="J37">
        <v>105663.41</v>
      </c>
      <c r="K37">
        <v>406095.977</v>
      </c>
      <c r="L37" t="s">
        <v>103</v>
      </c>
      <c r="M37" t="s">
        <v>104</v>
      </c>
      <c r="N37" s="3">
        <v>45958</v>
      </c>
      <c r="O37">
        <v>36</v>
      </c>
      <c r="P37">
        <v>61</v>
      </c>
      <c r="Q37">
        <v>-25</v>
      </c>
      <c r="R37" t="s">
        <v>105</v>
      </c>
    </row>
    <row r="38" spans="1:18">
      <c r="A38" t="s">
        <v>52</v>
      </c>
      <c r="B38" s="3">
        <v>45916</v>
      </c>
      <c r="C38">
        <v>38.44</v>
      </c>
      <c r="D38">
        <v>38.6</v>
      </c>
      <c r="E38">
        <v>37.38</v>
      </c>
      <c r="F38">
        <v>37.96</v>
      </c>
      <c r="G38">
        <v>38.5</v>
      </c>
      <c r="H38">
        <v>-0.54</v>
      </c>
      <c r="I38">
        <v>-1.4026</v>
      </c>
      <c r="J38">
        <v>112594.04</v>
      </c>
      <c r="K38">
        <v>426253.289</v>
      </c>
      <c r="L38" t="s">
        <v>103</v>
      </c>
      <c r="M38" t="s">
        <v>104</v>
      </c>
      <c r="N38" s="3">
        <v>45958</v>
      </c>
      <c r="O38">
        <v>37</v>
      </c>
      <c r="P38">
        <v>61</v>
      </c>
      <c r="Q38">
        <v>-24</v>
      </c>
      <c r="R38" t="s">
        <v>105</v>
      </c>
    </row>
    <row r="39" spans="1:18">
      <c r="A39" t="s">
        <v>52</v>
      </c>
      <c r="B39" s="3">
        <v>45917</v>
      </c>
      <c r="C39">
        <v>38</v>
      </c>
      <c r="D39">
        <v>38.55</v>
      </c>
      <c r="E39">
        <v>37.7</v>
      </c>
      <c r="F39">
        <v>38.32</v>
      </c>
      <c r="G39">
        <v>37.96</v>
      </c>
      <c r="H39">
        <v>0.36</v>
      </c>
      <c r="I39">
        <v>0.9484</v>
      </c>
      <c r="J39">
        <v>103253.25</v>
      </c>
      <c r="K39">
        <v>394680.639</v>
      </c>
      <c r="L39" t="s">
        <v>103</v>
      </c>
      <c r="M39" t="s">
        <v>104</v>
      </c>
      <c r="N39" s="3">
        <v>45958</v>
      </c>
      <c r="O39">
        <v>38</v>
      </c>
      <c r="P39">
        <v>61</v>
      </c>
      <c r="Q39">
        <v>-23</v>
      </c>
      <c r="R39" t="s">
        <v>105</v>
      </c>
    </row>
    <row r="40" spans="1:18">
      <c r="A40" t="s">
        <v>52</v>
      </c>
      <c r="B40" s="3">
        <v>45918</v>
      </c>
      <c r="C40">
        <v>38.17</v>
      </c>
      <c r="D40">
        <v>40.25</v>
      </c>
      <c r="E40">
        <v>37.82</v>
      </c>
      <c r="F40">
        <v>38.79</v>
      </c>
      <c r="G40">
        <v>38.32</v>
      </c>
      <c r="H40">
        <v>0.47</v>
      </c>
      <c r="I40">
        <v>1.2265</v>
      </c>
      <c r="J40">
        <v>271454.55</v>
      </c>
      <c r="K40">
        <v>1059738.188</v>
      </c>
      <c r="L40" t="s">
        <v>103</v>
      </c>
      <c r="M40" t="s">
        <v>104</v>
      </c>
      <c r="N40" s="3">
        <v>45958</v>
      </c>
      <c r="O40">
        <v>39</v>
      </c>
      <c r="P40">
        <v>61</v>
      </c>
      <c r="Q40">
        <v>-22</v>
      </c>
      <c r="R40" t="s">
        <v>105</v>
      </c>
    </row>
    <row r="41" spans="1:18">
      <c r="A41" t="s">
        <v>52</v>
      </c>
      <c r="B41" s="3">
        <v>45919</v>
      </c>
      <c r="C41">
        <v>38.7</v>
      </c>
      <c r="D41">
        <v>40.41</v>
      </c>
      <c r="E41">
        <v>38.6</v>
      </c>
      <c r="F41">
        <v>39.52</v>
      </c>
      <c r="G41">
        <v>38.79</v>
      </c>
      <c r="H41">
        <v>0.73</v>
      </c>
      <c r="I41">
        <v>1.8819</v>
      </c>
      <c r="J41">
        <v>240079.16</v>
      </c>
      <c r="K41">
        <v>955362.15</v>
      </c>
      <c r="L41" t="s">
        <v>103</v>
      </c>
      <c r="M41" t="s">
        <v>104</v>
      </c>
      <c r="N41" s="3">
        <v>45958</v>
      </c>
      <c r="O41">
        <v>40</v>
      </c>
      <c r="P41">
        <v>61</v>
      </c>
      <c r="Q41">
        <v>-21</v>
      </c>
      <c r="R41" t="s">
        <v>105</v>
      </c>
    </row>
    <row r="42" spans="1:18">
      <c r="A42" t="s">
        <v>52</v>
      </c>
      <c r="B42" s="3">
        <v>45922</v>
      </c>
      <c r="C42">
        <v>39.64</v>
      </c>
      <c r="D42">
        <v>40.31</v>
      </c>
      <c r="E42">
        <v>38.75</v>
      </c>
      <c r="F42">
        <v>39.95</v>
      </c>
      <c r="G42">
        <v>39.52</v>
      </c>
      <c r="H42">
        <v>0.43</v>
      </c>
      <c r="I42">
        <v>1.0881</v>
      </c>
      <c r="J42">
        <v>178480.4</v>
      </c>
      <c r="K42">
        <v>706083.521</v>
      </c>
      <c r="L42" t="s">
        <v>103</v>
      </c>
      <c r="M42" t="s">
        <v>104</v>
      </c>
      <c r="N42" s="3">
        <v>45958</v>
      </c>
      <c r="O42">
        <v>41</v>
      </c>
      <c r="P42">
        <v>61</v>
      </c>
      <c r="Q42">
        <v>-20</v>
      </c>
      <c r="R42" t="s">
        <v>105</v>
      </c>
    </row>
    <row r="43" spans="1:18">
      <c r="A43" t="s">
        <v>52</v>
      </c>
      <c r="B43" s="3">
        <v>45923</v>
      </c>
      <c r="C43">
        <v>39.69</v>
      </c>
      <c r="D43">
        <v>40.85</v>
      </c>
      <c r="E43">
        <v>38.37</v>
      </c>
      <c r="F43">
        <v>40.06</v>
      </c>
      <c r="G43">
        <v>39.95</v>
      </c>
      <c r="H43">
        <v>0.11</v>
      </c>
      <c r="I43">
        <v>0.2753</v>
      </c>
      <c r="J43">
        <v>200066.33</v>
      </c>
      <c r="K43">
        <v>792547.789</v>
      </c>
      <c r="L43" t="s">
        <v>103</v>
      </c>
      <c r="M43" t="s">
        <v>104</v>
      </c>
      <c r="N43" s="3">
        <v>45958</v>
      </c>
      <c r="O43">
        <v>42</v>
      </c>
      <c r="P43">
        <v>61</v>
      </c>
      <c r="Q43">
        <v>-19</v>
      </c>
      <c r="R43" t="s">
        <v>105</v>
      </c>
    </row>
    <row r="44" spans="1:18">
      <c r="A44" t="s">
        <v>52</v>
      </c>
      <c r="B44" s="3">
        <v>45924</v>
      </c>
      <c r="C44">
        <v>40.2</v>
      </c>
      <c r="D44">
        <v>43</v>
      </c>
      <c r="E44">
        <v>39.8</v>
      </c>
      <c r="F44">
        <v>42.59</v>
      </c>
      <c r="G44">
        <v>40.06</v>
      </c>
      <c r="H44">
        <v>2.53</v>
      </c>
      <c r="I44">
        <v>6.3155</v>
      </c>
      <c r="J44">
        <v>364970.7</v>
      </c>
      <c r="K44">
        <v>1512442.586</v>
      </c>
      <c r="L44" t="s">
        <v>103</v>
      </c>
      <c r="M44" t="s">
        <v>104</v>
      </c>
      <c r="N44" s="3">
        <v>45958</v>
      </c>
      <c r="O44">
        <v>43</v>
      </c>
      <c r="P44">
        <v>61</v>
      </c>
      <c r="Q44">
        <v>-18</v>
      </c>
      <c r="R44" t="s">
        <v>105</v>
      </c>
    </row>
    <row r="45" spans="1:18">
      <c r="A45" t="s">
        <v>52</v>
      </c>
      <c r="B45" s="3">
        <v>45925</v>
      </c>
      <c r="C45">
        <v>42</v>
      </c>
      <c r="D45">
        <v>42.59</v>
      </c>
      <c r="E45">
        <v>41.65</v>
      </c>
      <c r="F45">
        <v>42.08</v>
      </c>
      <c r="G45">
        <v>42.59</v>
      </c>
      <c r="H45">
        <v>-0.51</v>
      </c>
      <c r="I45">
        <v>-1.1975</v>
      </c>
      <c r="J45">
        <v>194632.07</v>
      </c>
      <c r="K45">
        <v>819457.468</v>
      </c>
      <c r="L45" t="s">
        <v>103</v>
      </c>
      <c r="M45" t="s">
        <v>104</v>
      </c>
      <c r="N45" s="3">
        <v>45958</v>
      </c>
      <c r="O45">
        <v>44</v>
      </c>
      <c r="P45">
        <v>61</v>
      </c>
      <c r="Q45">
        <v>-17</v>
      </c>
      <c r="R45" t="s">
        <v>105</v>
      </c>
    </row>
    <row r="46" spans="1:18">
      <c r="A46" t="s">
        <v>52</v>
      </c>
      <c r="B46" s="3">
        <v>45926</v>
      </c>
      <c r="C46">
        <v>42</v>
      </c>
      <c r="D46">
        <v>42</v>
      </c>
      <c r="E46">
        <v>40.5</v>
      </c>
      <c r="F46">
        <v>40.5</v>
      </c>
      <c r="G46">
        <v>42.08</v>
      </c>
      <c r="H46">
        <v>-1.58</v>
      </c>
      <c r="I46">
        <v>-3.7548</v>
      </c>
      <c r="J46">
        <v>147003.13</v>
      </c>
      <c r="K46">
        <v>605321.365</v>
      </c>
      <c r="L46" t="s">
        <v>103</v>
      </c>
      <c r="M46" t="s">
        <v>104</v>
      </c>
      <c r="N46" s="3">
        <v>45958</v>
      </c>
      <c r="O46">
        <v>45</v>
      </c>
      <c r="P46">
        <v>61</v>
      </c>
      <c r="Q46">
        <v>-16</v>
      </c>
      <c r="R46" t="s">
        <v>105</v>
      </c>
    </row>
    <row r="47" spans="1:18">
      <c r="A47" t="s">
        <v>52</v>
      </c>
      <c r="B47" s="3">
        <v>45929</v>
      </c>
      <c r="C47">
        <v>40.5</v>
      </c>
      <c r="D47">
        <v>40.67</v>
      </c>
      <c r="E47">
        <v>39.77</v>
      </c>
      <c r="F47">
        <v>40.09</v>
      </c>
      <c r="G47">
        <v>40.5</v>
      </c>
      <c r="H47">
        <v>-0.41</v>
      </c>
      <c r="I47">
        <v>-1.0123</v>
      </c>
      <c r="J47">
        <v>116629.19</v>
      </c>
      <c r="K47">
        <v>467974.437</v>
      </c>
      <c r="L47" t="s">
        <v>103</v>
      </c>
      <c r="M47" t="s">
        <v>104</v>
      </c>
      <c r="N47" s="3">
        <v>45958</v>
      </c>
      <c r="O47">
        <v>46</v>
      </c>
      <c r="P47">
        <v>61</v>
      </c>
      <c r="Q47">
        <v>-15</v>
      </c>
      <c r="R47" t="s">
        <v>105</v>
      </c>
    </row>
    <row r="48" spans="1:18">
      <c r="A48" t="s">
        <v>52</v>
      </c>
      <c r="B48" s="3">
        <v>45930</v>
      </c>
      <c r="C48">
        <v>40.95</v>
      </c>
      <c r="D48">
        <v>41.48</v>
      </c>
      <c r="E48">
        <v>40.31</v>
      </c>
      <c r="F48">
        <v>40.48</v>
      </c>
      <c r="G48">
        <v>40.09</v>
      </c>
      <c r="H48">
        <v>0.39</v>
      </c>
      <c r="I48">
        <v>0.9728</v>
      </c>
      <c r="J48">
        <v>147544.8</v>
      </c>
      <c r="K48">
        <v>603279.173</v>
      </c>
      <c r="L48" t="s">
        <v>103</v>
      </c>
      <c r="M48" t="s">
        <v>104</v>
      </c>
      <c r="N48" s="3">
        <v>45958</v>
      </c>
      <c r="O48">
        <v>47</v>
      </c>
      <c r="P48">
        <v>61</v>
      </c>
      <c r="Q48">
        <v>-14</v>
      </c>
      <c r="R48" t="s">
        <v>105</v>
      </c>
    </row>
    <row r="49" spans="1:19">
      <c r="A49" t="s">
        <v>52</v>
      </c>
      <c r="B49" s="3">
        <v>45939</v>
      </c>
      <c r="C49">
        <v>41.09</v>
      </c>
      <c r="D49">
        <v>44.53</v>
      </c>
      <c r="E49">
        <v>40.86</v>
      </c>
      <c r="F49">
        <v>43.32</v>
      </c>
      <c r="G49">
        <v>40.48</v>
      </c>
      <c r="H49">
        <v>2.84</v>
      </c>
      <c r="I49">
        <v>7.0158</v>
      </c>
      <c r="J49">
        <v>316044.96</v>
      </c>
      <c r="K49">
        <v>1357546.959</v>
      </c>
      <c r="L49" t="s">
        <v>103</v>
      </c>
      <c r="M49" t="s">
        <v>104</v>
      </c>
      <c r="N49" s="3">
        <v>45958</v>
      </c>
      <c r="O49">
        <v>48</v>
      </c>
      <c r="P49">
        <v>61</v>
      </c>
      <c r="Q49">
        <v>-13</v>
      </c>
      <c r="R49" t="s">
        <v>105</v>
      </c>
    </row>
    <row r="50" spans="1:19">
      <c r="A50" t="s">
        <v>52</v>
      </c>
      <c r="B50" s="3">
        <v>45940</v>
      </c>
      <c r="C50">
        <v>43.11</v>
      </c>
      <c r="D50">
        <v>43.31</v>
      </c>
      <c r="E50">
        <v>40.82</v>
      </c>
      <c r="F50">
        <v>41</v>
      </c>
      <c r="G50">
        <v>43.32</v>
      </c>
      <c r="H50">
        <v>-2.32</v>
      </c>
      <c r="I50">
        <v>-5.3555</v>
      </c>
      <c r="J50">
        <v>215654.61</v>
      </c>
      <c r="K50">
        <v>898462.902</v>
      </c>
      <c r="L50" t="s">
        <v>103</v>
      </c>
      <c r="M50" t="s">
        <v>104</v>
      </c>
      <c r="N50" s="3">
        <v>45958</v>
      </c>
      <c r="O50">
        <v>49</v>
      </c>
      <c r="P50">
        <v>61</v>
      </c>
      <c r="Q50">
        <v>-12</v>
      </c>
      <c r="R50" t="s">
        <v>105</v>
      </c>
    </row>
    <row r="51" spans="1:19">
      <c r="A51" t="s">
        <v>52</v>
      </c>
      <c r="B51" s="3">
        <v>45943</v>
      </c>
      <c r="C51">
        <v>40.26</v>
      </c>
      <c r="D51">
        <v>43.58</v>
      </c>
      <c r="E51">
        <v>40.18</v>
      </c>
      <c r="F51">
        <v>43.48</v>
      </c>
      <c r="G51">
        <v>41</v>
      </c>
      <c r="H51">
        <v>2.48</v>
      </c>
      <c r="I51">
        <v>6.0488</v>
      </c>
      <c r="J51">
        <v>283192.35</v>
      </c>
      <c r="K51">
        <v>1211697.128</v>
      </c>
      <c r="L51" t="s">
        <v>103</v>
      </c>
      <c r="M51" t="s">
        <v>104</v>
      </c>
      <c r="N51" s="3">
        <v>45958</v>
      </c>
      <c r="O51">
        <v>50</v>
      </c>
      <c r="P51">
        <v>61</v>
      </c>
      <c r="Q51">
        <v>-11</v>
      </c>
      <c r="R51" t="s">
        <v>105</v>
      </c>
    </row>
    <row r="52" spans="1:19">
      <c r="A52" t="s">
        <v>52</v>
      </c>
      <c r="B52" s="3">
        <v>45944</v>
      </c>
      <c r="C52">
        <v>43.51</v>
      </c>
      <c r="D52">
        <v>44.56</v>
      </c>
      <c r="E52">
        <v>42.16</v>
      </c>
      <c r="F52">
        <v>42.33</v>
      </c>
      <c r="G52">
        <v>43.48</v>
      </c>
      <c r="H52">
        <v>-1.15</v>
      </c>
      <c r="I52">
        <v>-2.6449</v>
      </c>
      <c r="J52">
        <v>236584.41</v>
      </c>
      <c r="K52">
        <v>1023622.899</v>
      </c>
      <c r="L52" t="s">
        <v>103</v>
      </c>
      <c r="M52" t="s">
        <v>104</v>
      </c>
      <c r="N52" s="3">
        <v>45958</v>
      </c>
      <c r="O52">
        <v>51</v>
      </c>
      <c r="P52">
        <v>61</v>
      </c>
      <c r="Q52">
        <v>-10</v>
      </c>
      <c r="R52" t="s">
        <v>105</v>
      </c>
    </row>
    <row r="53" spans="1:19">
      <c r="A53" t="s">
        <v>52</v>
      </c>
      <c r="B53" s="3">
        <v>45945</v>
      </c>
      <c r="C53">
        <v>42.88</v>
      </c>
      <c r="D53">
        <v>42.99</v>
      </c>
      <c r="E53">
        <v>41.55</v>
      </c>
      <c r="F53">
        <v>41.81</v>
      </c>
      <c r="G53">
        <v>42.33</v>
      </c>
      <c r="H53">
        <v>-0.52</v>
      </c>
      <c r="I53">
        <v>-1.2284</v>
      </c>
      <c r="J53">
        <v>148231.6</v>
      </c>
      <c r="K53">
        <v>622507.217</v>
      </c>
      <c r="L53" t="s">
        <v>103</v>
      </c>
      <c r="M53" t="s">
        <v>104</v>
      </c>
      <c r="N53" s="3">
        <v>45958</v>
      </c>
      <c r="O53">
        <v>52</v>
      </c>
      <c r="P53">
        <v>61</v>
      </c>
      <c r="Q53">
        <v>-9</v>
      </c>
      <c r="R53" t="s">
        <v>105</v>
      </c>
    </row>
    <row r="54" spans="1:19">
      <c r="A54" t="s">
        <v>52</v>
      </c>
      <c r="B54" s="3">
        <v>45946</v>
      </c>
      <c r="C54">
        <v>41.89</v>
      </c>
      <c r="D54">
        <v>42.13</v>
      </c>
      <c r="E54">
        <v>40.85</v>
      </c>
      <c r="F54">
        <v>41.11</v>
      </c>
      <c r="G54">
        <v>41.81</v>
      </c>
      <c r="H54">
        <v>-0.7</v>
      </c>
      <c r="I54">
        <v>-1.6742</v>
      </c>
      <c r="J54">
        <v>124529.43</v>
      </c>
      <c r="K54">
        <v>514313.23</v>
      </c>
      <c r="L54" t="s">
        <v>103</v>
      </c>
      <c r="M54" t="s">
        <v>104</v>
      </c>
      <c r="N54" s="3">
        <v>45958</v>
      </c>
      <c r="O54">
        <v>53</v>
      </c>
      <c r="P54">
        <v>61</v>
      </c>
      <c r="Q54">
        <v>-8</v>
      </c>
      <c r="R54" t="s">
        <v>105</v>
      </c>
    </row>
    <row r="55" spans="1:19">
      <c r="A55" t="s">
        <v>52</v>
      </c>
      <c r="B55" s="3">
        <v>45947</v>
      </c>
      <c r="C55">
        <v>40.83</v>
      </c>
      <c r="D55">
        <v>41.11</v>
      </c>
      <c r="E55">
        <v>38.13</v>
      </c>
      <c r="F55">
        <v>38.21</v>
      </c>
      <c r="G55">
        <v>41.11</v>
      </c>
      <c r="H55">
        <v>-2.9</v>
      </c>
      <c r="I55">
        <v>-7.0542</v>
      </c>
      <c r="J55">
        <v>199340.59</v>
      </c>
      <c r="K55">
        <v>779198.391</v>
      </c>
      <c r="L55" t="s">
        <v>103</v>
      </c>
      <c r="M55" t="s">
        <v>104</v>
      </c>
      <c r="N55" s="3">
        <v>45958</v>
      </c>
      <c r="O55">
        <v>54</v>
      </c>
      <c r="P55">
        <v>61</v>
      </c>
      <c r="Q55">
        <v>-7</v>
      </c>
      <c r="R55" t="s">
        <v>105</v>
      </c>
    </row>
    <row r="56" spans="1:19">
      <c r="A56" t="s">
        <v>52</v>
      </c>
      <c r="B56" s="3">
        <v>45950</v>
      </c>
      <c r="C56">
        <v>38.69</v>
      </c>
      <c r="D56">
        <v>38.88</v>
      </c>
      <c r="E56">
        <v>37.83</v>
      </c>
      <c r="F56">
        <v>38.12</v>
      </c>
      <c r="G56">
        <v>38.21</v>
      </c>
      <c r="H56">
        <v>-0.09</v>
      </c>
      <c r="I56">
        <v>-0.2355</v>
      </c>
      <c r="J56">
        <v>96584.85</v>
      </c>
      <c r="K56">
        <v>370417.978</v>
      </c>
      <c r="L56" t="s">
        <v>103</v>
      </c>
      <c r="M56" t="s">
        <v>104</v>
      </c>
      <c r="N56" s="3">
        <v>45958</v>
      </c>
      <c r="O56">
        <v>55</v>
      </c>
      <c r="P56">
        <v>61</v>
      </c>
      <c r="Q56">
        <v>-6</v>
      </c>
      <c r="R56" t="s">
        <v>105</v>
      </c>
    </row>
    <row r="57" spans="1:19">
      <c r="A57" t="s">
        <v>52</v>
      </c>
      <c r="B57" s="3">
        <v>45951</v>
      </c>
      <c r="C57">
        <v>38.05</v>
      </c>
      <c r="D57">
        <v>39.5</v>
      </c>
      <c r="E57">
        <v>37.88</v>
      </c>
      <c r="F57">
        <v>38.98</v>
      </c>
      <c r="G57">
        <v>38.12</v>
      </c>
      <c r="H57">
        <v>0.86</v>
      </c>
      <c r="I57">
        <v>2.256</v>
      </c>
      <c r="J57">
        <v>102576.06</v>
      </c>
      <c r="K57">
        <v>397694.394</v>
      </c>
      <c r="L57" t="s">
        <v>103</v>
      </c>
      <c r="M57" t="s">
        <v>104</v>
      </c>
      <c r="N57" s="3">
        <v>45958</v>
      </c>
      <c r="O57">
        <v>56</v>
      </c>
      <c r="P57">
        <v>61</v>
      </c>
      <c r="Q57">
        <v>-5</v>
      </c>
      <c r="R57" t="s">
        <v>105</v>
      </c>
    </row>
    <row r="58" spans="1:19">
      <c r="A58" t="s">
        <v>52</v>
      </c>
      <c r="B58" s="3">
        <v>45952</v>
      </c>
      <c r="C58">
        <v>38.63</v>
      </c>
      <c r="D58">
        <v>38.89</v>
      </c>
      <c r="E58">
        <v>38.1</v>
      </c>
      <c r="F58">
        <v>38.28</v>
      </c>
      <c r="G58">
        <v>38.98</v>
      </c>
      <c r="H58">
        <v>-0.7</v>
      </c>
      <c r="I58">
        <v>-1.7958</v>
      </c>
      <c r="J58">
        <v>65746.46</v>
      </c>
      <c r="K58">
        <v>252519.177</v>
      </c>
      <c r="L58" t="s">
        <v>103</v>
      </c>
      <c r="M58" t="s">
        <v>104</v>
      </c>
      <c r="N58" s="3">
        <v>45958</v>
      </c>
      <c r="O58">
        <v>57</v>
      </c>
      <c r="P58">
        <v>61</v>
      </c>
      <c r="Q58">
        <v>-4</v>
      </c>
      <c r="R58" t="s">
        <v>105</v>
      </c>
    </row>
    <row r="59" spans="1:19">
      <c r="A59" t="s">
        <v>52</v>
      </c>
      <c r="B59" s="3">
        <v>45953</v>
      </c>
      <c r="C59">
        <v>37.98</v>
      </c>
      <c r="D59">
        <v>38.17</v>
      </c>
      <c r="E59">
        <v>36.5</v>
      </c>
      <c r="F59">
        <v>38.07</v>
      </c>
      <c r="G59">
        <v>38.28</v>
      </c>
      <c r="H59">
        <v>-0.21</v>
      </c>
      <c r="I59">
        <v>-0.5486</v>
      </c>
      <c r="J59">
        <v>102056.68</v>
      </c>
      <c r="K59">
        <v>380445.003</v>
      </c>
      <c r="L59" t="s">
        <v>103</v>
      </c>
      <c r="M59" t="s">
        <v>104</v>
      </c>
      <c r="N59" s="3">
        <v>45958</v>
      </c>
      <c r="O59">
        <v>58</v>
      </c>
      <c r="P59">
        <v>61</v>
      </c>
      <c r="Q59">
        <v>-3</v>
      </c>
      <c r="R59" t="s">
        <v>105</v>
      </c>
    </row>
    <row r="60" spans="1:19">
      <c r="A60" t="s">
        <v>52</v>
      </c>
      <c r="B60" s="3">
        <v>45954</v>
      </c>
      <c r="C60">
        <v>38.07</v>
      </c>
      <c r="D60">
        <v>39.05</v>
      </c>
      <c r="E60">
        <v>38.07</v>
      </c>
      <c r="F60">
        <v>38.78</v>
      </c>
      <c r="G60">
        <v>38.07</v>
      </c>
      <c r="H60">
        <v>0.71</v>
      </c>
      <c r="I60">
        <v>1.865</v>
      </c>
      <c r="J60">
        <v>82282.67</v>
      </c>
      <c r="K60">
        <v>318111.437</v>
      </c>
      <c r="L60" t="s">
        <v>103</v>
      </c>
      <c r="M60" t="s">
        <v>104</v>
      </c>
      <c r="N60" s="3">
        <v>45958</v>
      </c>
      <c r="O60">
        <v>59</v>
      </c>
      <c r="P60">
        <v>61</v>
      </c>
      <c r="Q60">
        <v>-2</v>
      </c>
      <c r="R60" t="s">
        <v>105</v>
      </c>
    </row>
    <row r="61" spans="1:19">
      <c r="A61" t="s">
        <v>52</v>
      </c>
      <c r="B61" s="3">
        <v>45957</v>
      </c>
      <c r="C61">
        <v>38.24</v>
      </c>
      <c r="D61">
        <v>39.4</v>
      </c>
      <c r="E61">
        <v>38.13</v>
      </c>
      <c r="F61">
        <v>38.58</v>
      </c>
      <c r="G61">
        <v>38.78</v>
      </c>
      <c r="H61">
        <v>-0.2</v>
      </c>
      <c r="I61">
        <v>-0.5157</v>
      </c>
      <c r="J61">
        <v>105935.9</v>
      </c>
      <c r="K61">
        <v>410343.83</v>
      </c>
      <c r="L61" t="s">
        <v>103</v>
      </c>
      <c r="M61" t="s">
        <v>104</v>
      </c>
      <c r="N61" s="3">
        <v>45958</v>
      </c>
      <c r="O61">
        <v>60</v>
      </c>
      <c r="P61">
        <v>61</v>
      </c>
      <c r="Q61">
        <v>-1</v>
      </c>
      <c r="R61" t="s">
        <v>105</v>
      </c>
    </row>
    <row r="62" spans="1:19">
      <c r="A62" t="s">
        <v>52</v>
      </c>
      <c r="B62" s="3">
        <v>45958</v>
      </c>
      <c r="C62">
        <v>40.35</v>
      </c>
      <c r="D62">
        <v>42.44</v>
      </c>
      <c r="E62">
        <v>40.3</v>
      </c>
      <c r="F62">
        <v>42.44</v>
      </c>
      <c r="G62">
        <v>38.58</v>
      </c>
      <c r="H62">
        <v>3.86</v>
      </c>
      <c r="I62">
        <v>10.0052</v>
      </c>
      <c r="J62">
        <v>277100.86</v>
      </c>
      <c r="K62">
        <v>1159550.669</v>
      </c>
      <c r="L62" t="s">
        <v>103</v>
      </c>
      <c r="M62" t="s">
        <v>104</v>
      </c>
      <c r="N62" s="3">
        <v>45958</v>
      </c>
      <c r="O62">
        <v>61</v>
      </c>
      <c r="P62">
        <v>61</v>
      </c>
      <c r="Q62">
        <v>0</v>
      </c>
      <c r="R62" t="s">
        <v>106</v>
      </c>
      <c r="S62" t="s">
        <v>152</v>
      </c>
    </row>
    <row r="63" spans="1:19">
      <c r="A63" t="s">
        <v>52</v>
      </c>
      <c r="B63" s="3">
        <v>45959</v>
      </c>
      <c r="C63">
        <v>42.44</v>
      </c>
      <c r="D63">
        <v>43.25</v>
      </c>
      <c r="E63">
        <v>41.88</v>
      </c>
      <c r="F63">
        <v>42.96</v>
      </c>
      <c r="G63">
        <v>42.44</v>
      </c>
      <c r="H63">
        <v>0.52</v>
      </c>
      <c r="I63">
        <v>1.2253</v>
      </c>
      <c r="J63">
        <v>319883.48</v>
      </c>
      <c r="K63">
        <v>1364375.28</v>
      </c>
      <c r="L63" t="s">
        <v>103</v>
      </c>
      <c r="M63" t="s">
        <v>104</v>
      </c>
      <c r="N63" s="3">
        <v>45958</v>
      </c>
      <c r="O63">
        <v>62</v>
      </c>
      <c r="P63">
        <v>61</v>
      </c>
      <c r="Q63">
        <v>1</v>
      </c>
      <c r="R63" t="s">
        <v>107</v>
      </c>
    </row>
    <row r="64" spans="1:19">
      <c r="A64" t="s">
        <v>52</v>
      </c>
      <c r="B64" s="3">
        <v>45960</v>
      </c>
      <c r="C64">
        <v>42.96</v>
      </c>
      <c r="D64">
        <v>44.24</v>
      </c>
      <c r="E64">
        <v>42.05</v>
      </c>
      <c r="F64">
        <v>42.08</v>
      </c>
      <c r="G64">
        <v>42.96</v>
      </c>
      <c r="H64">
        <v>-0.88</v>
      </c>
      <c r="I64">
        <v>-2.0484</v>
      </c>
      <c r="J64">
        <v>260247.26</v>
      </c>
      <c r="K64">
        <v>1116742.765</v>
      </c>
      <c r="L64" t="s">
        <v>103</v>
      </c>
      <c r="M64" t="s">
        <v>104</v>
      </c>
      <c r="N64" s="3">
        <v>45958</v>
      </c>
      <c r="O64">
        <v>63</v>
      </c>
      <c r="P64">
        <v>61</v>
      </c>
      <c r="Q64">
        <v>2</v>
      </c>
      <c r="R64" t="s">
        <v>107</v>
      </c>
    </row>
    <row r="65" spans="1:18">
      <c r="A65" t="s">
        <v>52</v>
      </c>
      <c r="B65" s="3">
        <v>45961</v>
      </c>
      <c r="C65">
        <v>42.05</v>
      </c>
      <c r="D65">
        <v>42.76</v>
      </c>
      <c r="E65">
        <v>41.27</v>
      </c>
      <c r="F65">
        <v>41.27</v>
      </c>
      <c r="G65">
        <v>42.08</v>
      </c>
      <c r="H65">
        <v>-0.81</v>
      </c>
      <c r="I65">
        <v>-1.9249</v>
      </c>
      <c r="J65">
        <v>143594.48</v>
      </c>
      <c r="K65">
        <v>599324.061</v>
      </c>
      <c r="L65" t="s">
        <v>103</v>
      </c>
      <c r="M65" t="s">
        <v>104</v>
      </c>
      <c r="N65" s="3">
        <v>45958</v>
      </c>
      <c r="O65">
        <v>64</v>
      </c>
      <c r="P65">
        <v>61</v>
      </c>
      <c r="Q65">
        <v>3</v>
      </c>
      <c r="R65" t="s">
        <v>107</v>
      </c>
    </row>
    <row r="66" spans="1:18">
      <c r="A66" t="s">
        <v>52</v>
      </c>
      <c r="B66" s="3">
        <v>45964</v>
      </c>
      <c r="C66">
        <v>41.2</v>
      </c>
      <c r="D66">
        <v>41.39</v>
      </c>
      <c r="E66">
        <v>39.72</v>
      </c>
      <c r="F66">
        <v>40.95</v>
      </c>
      <c r="G66">
        <v>41.27</v>
      </c>
      <c r="H66">
        <v>-0.32</v>
      </c>
      <c r="I66">
        <v>-0.7754</v>
      </c>
      <c r="J66">
        <v>124553.29</v>
      </c>
      <c r="K66">
        <v>504749.321</v>
      </c>
      <c r="L66" t="s">
        <v>103</v>
      </c>
      <c r="M66" t="s">
        <v>104</v>
      </c>
      <c r="N66" s="3">
        <v>45958</v>
      </c>
      <c r="O66">
        <v>65</v>
      </c>
      <c r="P66">
        <v>61</v>
      </c>
      <c r="Q66">
        <v>4</v>
      </c>
      <c r="R66" t="s">
        <v>107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54</v>
      </c>
    </row>
    <row r="3" spans="1:2">
      <c r="A3" s="5" t="s">
        <v>75</v>
      </c>
      <c r="B3" s="6" t="s">
        <v>55</v>
      </c>
    </row>
    <row r="4" spans="1:2">
      <c r="A4" s="5" t="s">
        <v>2</v>
      </c>
      <c r="B4" s="7">
        <v>45709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45709</v>
      </c>
    </row>
    <row r="9" spans="1:2">
      <c r="A9" s="5" t="s">
        <v>1</v>
      </c>
      <c r="B9">
        <v>13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153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54</v>
      </c>
      <c r="B2" s="3">
        <v>45617</v>
      </c>
      <c r="C2">
        <v>67.8</v>
      </c>
      <c r="D2">
        <v>68.85</v>
      </c>
      <c r="E2">
        <v>66.84</v>
      </c>
      <c r="F2">
        <v>67.6</v>
      </c>
      <c r="G2">
        <v>67.96</v>
      </c>
      <c r="H2">
        <v>-0.36</v>
      </c>
      <c r="I2">
        <v>-0.5297</v>
      </c>
      <c r="J2">
        <v>260358.58</v>
      </c>
      <c r="K2">
        <v>1771095.193</v>
      </c>
      <c r="L2" t="s">
        <v>103</v>
      </c>
      <c r="M2" t="s">
        <v>104</v>
      </c>
      <c r="N2" s="3">
        <v>45709</v>
      </c>
      <c r="O2">
        <v>1</v>
      </c>
      <c r="P2">
        <v>60</v>
      </c>
      <c r="Q2">
        <v>-59</v>
      </c>
      <c r="R2" t="s">
        <v>105</v>
      </c>
    </row>
    <row r="3" spans="1:19">
      <c r="A3" t="s">
        <v>54</v>
      </c>
      <c r="B3" s="3">
        <v>45618</v>
      </c>
      <c r="C3">
        <v>67.81</v>
      </c>
      <c r="D3">
        <v>68.88</v>
      </c>
      <c r="E3">
        <v>63.88</v>
      </c>
      <c r="F3">
        <v>63.91</v>
      </c>
      <c r="G3">
        <v>67.6</v>
      </c>
      <c r="H3">
        <v>-3.69</v>
      </c>
      <c r="I3">
        <v>-5.4586</v>
      </c>
      <c r="J3">
        <v>347760.61</v>
      </c>
      <c r="K3">
        <v>2304432.049</v>
      </c>
      <c r="L3" t="s">
        <v>103</v>
      </c>
      <c r="M3" t="s">
        <v>104</v>
      </c>
      <c r="N3" s="3">
        <v>45709</v>
      </c>
      <c r="O3">
        <v>2</v>
      </c>
      <c r="P3">
        <v>60</v>
      </c>
      <c r="Q3">
        <v>-58</v>
      </c>
      <c r="R3" t="s">
        <v>105</v>
      </c>
    </row>
    <row r="4" spans="1:19">
      <c r="A4" t="s">
        <v>54</v>
      </c>
      <c r="B4" s="3">
        <v>45621</v>
      </c>
      <c r="C4">
        <v>63.6</v>
      </c>
      <c r="D4">
        <v>64.3</v>
      </c>
      <c r="E4">
        <v>62</v>
      </c>
      <c r="F4">
        <v>63.63</v>
      </c>
      <c r="G4">
        <v>63.91</v>
      </c>
      <c r="H4">
        <v>-0.28</v>
      </c>
      <c r="I4">
        <v>-0.4381</v>
      </c>
      <c r="J4">
        <v>274235.29</v>
      </c>
      <c r="K4">
        <v>1730585.599</v>
      </c>
      <c r="L4" t="s">
        <v>103</v>
      </c>
      <c r="M4" t="s">
        <v>104</v>
      </c>
      <c r="N4" s="3">
        <v>45709</v>
      </c>
      <c r="O4">
        <v>3</v>
      </c>
      <c r="P4">
        <v>60</v>
      </c>
      <c r="Q4">
        <v>-57</v>
      </c>
      <c r="R4" t="s">
        <v>105</v>
      </c>
    </row>
    <row r="5" spans="1:19">
      <c r="A5" t="s">
        <v>54</v>
      </c>
      <c r="B5" s="3">
        <v>45622</v>
      </c>
      <c r="C5">
        <v>63.28</v>
      </c>
      <c r="D5">
        <v>64.27</v>
      </c>
      <c r="E5">
        <v>62.92</v>
      </c>
      <c r="F5">
        <v>63.11</v>
      </c>
      <c r="G5">
        <v>63.63</v>
      </c>
      <c r="H5">
        <v>-0.52</v>
      </c>
      <c r="I5">
        <v>-0.8172</v>
      </c>
      <c r="J5">
        <v>163496.42</v>
      </c>
      <c r="K5">
        <v>1038623.093</v>
      </c>
      <c r="L5" t="s">
        <v>103</v>
      </c>
      <c r="M5" t="s">
        <v>104</v>
      </c>
      <c r="N5" s="3">
        <v>45709</v>
      </c>
      <c r="O5">
        <v>4</v>
      </c>
      <c r="P5">
        <v>60</v>
      </c>
      <c r="Q5">
        <v>-56</v>
      </c>
      <c r="R5" t="s">
        <v>105</v>
      </c>
    </row>
    <row r="6" spans="1:19">
      <c r="A6" t="s">
        <v>54</v>
      </c>
      <c r="B6" s="3">
        <v>45623</v>
      </c>
      <c r="C6">
        <v>63.01</v>
      </c>
      <c r="D6">
        <v>66.75</v>
      </c>
      <c r="E6">
        <v>62.6</v>
      </c>
      <c r="F6">
        <v>66.69</v>
      </c>
      <c r="G6">
        <v>63.11</v>
      </c>
      <c r="H6">
        <v>3.58</v>
      </c>
      <c r="I6">
        <v>5.6726</v>
      </c>
      <c r="J6">
        <v>368979.73</v>
      </c>
      <c r="K6">
        <v>2406600.187</v>
      </c>
      <c r="L6" t="s">
        <v>103</v>
      </c>
      <c r="M6" t="s">
        <v>104</v>
      </c>
      <c r="N6" s="3">
        <v>45709</v>
      </c>
      <c r="O6">
        <v>5</v>
      </c>
      <c r="P6">
        <v>60</v>
      </c>
      <c r="Q6">
        <v>-55</v>
      </c>
      <c r="R6" t="s">
        <v>105</v>
      </c>
    </row>
    <row r="7" spans="1:19">
      <c r="A7" t="s">
        <v>54</v>
      </c>
      <c r="B7" s="3">
        <v>45624</v>
      </c>
      <c r="C7">
        <v>66.6</v>
      </c>
      <c r="D7">
        <v>67.3</v>
      </c>
      <c r="E7">
        <v>66.13</v>
      </c>
      <c r="F7">
        <v>66.52</v>
      </c>
      <c r="G7">
        <v>66.69</v>
      </c>
      <c r="H7">
        <v>-0.17</v>
      </c>
      <c r="I7">
        <v>-0.2549</v>
      </c>
      <c r="J7">
        <v>247387.2</v>
      </c>
      <c r="K7">
        <v>1648646.008</v>
      </c>
      <c r="L7" t="s">
        <v>103</v>
      </c>
      <c r="M7" t="s">
        <v>104</v>
      </c>
      <c r="N7" s="3">
        <v>45709</v>
      </c>
      <c r="O7">
        <v>6</v>
      </c>
      <c r="P7">
        <v>60</v>
      </c>
      <c r="Q7">
        <v>-54</v>
      </c>
      <c r="R7" t="s">
        <v>105</v>
      </c>
    </row>
    <row r="8" spans="1:19">
      <c r="A8" t="s">
        <v>54</v>
      </c>
      <c r="B8" s="3">
        <v>45625</v>
      </c>
      <c r="C8">
        <v>66.29</v>
      </c>
      <c r="D8">
        <v>68.5</v>
      </c>
      <c r="E8">
        <v>65.42</v>
      </c>
      <c r="F8">
        <v>67.38</v>
      </c>
      <c r="G8">
        <v>66.52</v>
      </c>
      <c r="H8">
        <v>0.86</v>
      </c>
      <c r="I8">
        <v>1.2928</v>
      </c>
      <c r="J8">
        <v>307097.32</v>
      </c>
      <c r="K8">
        <v>2059568.385</v>
      </c>
      <c r="L8" t="s">
        <v>103</v>
      </c>
      <c r="M8" t="s">
        <v>104</v>
      </c>
      <c r="N8" s="3">
        <v>45709</v>
      </c>
      <c r="O8">
        <v>7</v>
      </c>
      <c r="P8">
        <v>60</v>
      </c>
      <c r="Q8">
        <v>-53</v>
      </c>
      <c r="R8" t="s">
        <v>105</v>
      </c>
    </row>
    <row r="9" spans="1:19">
      <c r="A9" t="s">
        <v>54</v>
      </c>
      <c r="B9" s="3">
        <v>45628</v>
      </c>
      <c r="C9">
        <v>68.64</v>
      </c>
      <c r="D9">
        <v>69.97</v>
      </c>
      <c r="E9">
        <v>68.05</v>
      </c>
      <c r="F9">
        <v>69.13</v>
      </c>
      <c r="G9">
        <v>67.38</v>
      </c>
      <c r="H9">
        <v>1.75</v>
      </c>
      <c r="I9">
        <v>2.5972</v>
      </c>
      <c r="J9">
        <v>300298.65</v>
      </c>
      <c r="K9">
        <v>2070585.348</v>
      </c>
      <c r="L9" t="s">
        <v>103</v>
      </c>
      <c r="M9" t="s">
        <v>104</v>
      </c>
      <c r="N9" s="3">
        <v>45709</v>
      </c>
      <c r="O9">
        <v>8</v>
      </c>
      <c r="P9">
        <v>60</v>
      </c>
      <c r="Q9">
        <v>-52</v>
      </c>
      <c r="R9" t="s">
        <v>105</v>
      </c>
    </row>
    <row r="10" spans="1:19">
      <c r="A10" t="s">
        <v>54</v>
      </c>
      <c r="B10" s="3">
        <v>45629</v>
      </c>
      <c r="C10">
        <v>69.16</v>
      </c>
      <c r="D10">
        <v>69.3</v>
      </c>
      <c r="E10">
        <v>67.03</v>
      </c>
      <c r="F10">
        <v>68.34</v>
      </c>
      <c r="G10">
        <v>69.13</v>
      </c>
      <c r="H10">
        <v>-0.79</v>
      </c>
      <c r="I10">
        <v>-1.1428</v>
      </c>
      <c r="J10">
        <v>246540.74</v>
      </c>
      <c r="K10">
        <v>1676651.494</v>
      </c>
      <c r="L10" t="s">
        <v>103</v>
      </c>
      <c r="M10" t="s">
        <v>104</v>
      </c>
      <c r="N10" s="3">
        <v>45709</v>
      </c>
      <c r="O10">
        <v>9</v>
      </c>
      <c r="P10">
        <v>60</v>
      </c>
      <c r="Q10">
        <v>-51</v>
      </c>
      <c r="R10" t="s">
        <v>105</v>
      </c>
    </row>
    <row r="11" spans="1:19">
      <c r="A11" t="s">
        <v>54</v>
      </c>
      <c r="B11" s="3">
        <v>45630</v>
      </c>
      <c r="C11">
        <v>69.32</v>
      </c>
      <c r="D11">
        <v>69.88</v>
      </c>
      <c r="E11">
        <v>67.74</v>
      </c>
      <c r="F11">
        <v>67.83</v>
      </c>
      <c r="G11">
        <v>68.34</v>
      </c>
      <c r="H11">
        <v>-0.51</v>
      </c>
      <c r="I11">
        <v>-0.7463</v>
      </c>
      <c r="J11">
        <v>290377.22</v>
      </c>
      <c r="K11">
        <v>2003007.727</v>
      </c>
      <c r="L11" t="s">
        <v>103</v>
      </c>
      <c r="M11" t="s">
        <v>104</v>
      </c>
      <c r="N11" s="3">
        <v>45709</v>
      </c>
      <c r="O11">
        <v>10</v>
      </c>
      <c r="P11">
        <v>60</v>
      </c>
      <c r="Q11">
        <v>-50</v>
      </c>
      <c r="R11" t="s">
        <v>105</v>
      </c>
    </row>
    <row r="12" spans="1:19">
      <c r="A12" t="s">
        <v>54</v>
      </c>
      <c r="B12" s="3">
        <v>45631</v>
      </c>
      <c r="C12">
        <v>67.1</v>
      </c>
      <c r="D12">
        <v>68.78</v>
      </c>
      <c r="E12">
        <v>67</v>
      </c>
      <c r="F12">
        <v>68.3</v>
      </c>
      <c r="G12">
        <v>67.83</v>
      </c>
      <c r="H12">
        <v>0.47</v>
      </c>
      <c r="I12">
        <v>0.6929</v>
      </c>
      <c r="J12">
        <v>173649.77</v>
      </c>
      <c r="K12">
        <v>1183224.86</v>
      </c>
      <c r="L12" t="s">
        <v>103</v>
      </c>
      <c r="M12" t="s">
        <v>104</v>
      </c>
      <c r="N12" s="3">
        <v>45709</v>
      </c>
      <c r="O12">
        <v>11</v>
      </c>
      <c r="P12">
        <v>60</v>
      </c>
      <c r="Q12">
        <v>-49</v>
      </c>
      <c r="R12" t="s">
        <v>105</v>
      </c>
    </row>
    <row r="13" spans="1:19">
      <c r="A13" t="s">
        <v>54</v>
      </c>
      <c r="B13" s="3">
        <v>45632</v>
      </c>
      <c r="C13">
        <v>67.91</v>
      </c>
      <c r="D13">
        <v>70.53</v>
      </c>
      <c r="E13">
        <v>67.7</v>
      </c>
      <c r="F13">
        <v>70.18</v>
      </c>
      <c r="G13">
        <v>68.3</v>
      </c>
      <c r="H13">
        <v>1.88</v>
      </c>
      <c r="I13">
        <v>2.7526</v>
      </c>
      <c r="J13">
        <v>276740.19</v>
      </c>
      <c r="K13">
        <v>1923939.519</v>
      </c>
      <c r="L13" t="s">
        <v>103</v>
      </c>
      <c r="M13" t="s">
        <v>104</v>
      </c>
      <c r="N13" s="3">
        <v>45709</v>
      </c>
      <c r="O13">
        <v>12</v>
      </c>
      <c r="P13">
        <v>60</v>
      </c>
      <c r="Q13">
        <v>-48</v>
      </c>
      <c r="R13" t="s">
        <v>105</v>
      </c>
    </row>
    <row r="14" spans="1:19">
      <c r="A14" t="s">
        <v>54</v>
      </c>
      <c r="B14" s="3">
        <v>45635</v>
      </c>
      <c r="C14">
        <v>70</v>
      </c>
      <c r="D14">
        <v>70.38</v>
      </c>
      <c r="E14">
        <v>68.3</v>
      </c>
      <c r="F14">
        <v>68.82</v>
      </c>
      <c r="G14">
        <v>70.18</v>
      </c>
      <c r="H14">
        <v>-1.36</v>
      </c>
      <c r="I14">
        <v>-1.9379</v>
      </c>
      <c r="J14">
        <v>205848.26</v>
      </c>
      <c r="K14">
        <v>1426373.731</v>
      </c>
      <c r="L14" t="s">
        <v>103</v>
      </c>
      <c r="M14" t="s">
        <v>104</v>
      </c>
      <c r="N14" s="3">
        <v>45709</v>
      </c>
      <c r="O14">
        <v>13</v>
      </c>
      <c r="P14">
        <v>60</v>
      </c>
      <c r="Q14">
        <v>-47</v>
      </c>
      <c r="R14" t="s">
        <v>105</v>
      </c>
    </row>
    <row r="15" spans="1:19">
      <c r="A15" t="s">
        <v>54</v>
      </c>
      <c r="B15" s="3">
        <v>45636</v>
      </c>
      <c r="C15">
        <v>72</v>
      </c>
      <c r="D15">
        <v>72.39</v>
      </c>
      <c r="E15">
        <v>68.28</v>
      </c>
      <c r="F15">
        <v>68.39</v>
      </c>
      <c r="G15">
        <v>68.82</v>
      </c>
      <c r="H15">
        <v>-0.43</v>
      </c>
      <c r="I15">
        <v>-0.6248</v>
      </c>
      <c r="J15">
        <v>299542.52</v>
      </c>
      <c r="K15">
        <v>2097386.889</v>
      </c>
      <c r="L15" t="s">
        <v>103</v>
      </c>
      <c r="M15" t="s">
        <v>104</v>
      </c>
      <c r="N15" s="3">
        <v>45709</v>
      </c>
      <c r="O15">
        <v>14</v>
      </c>
      <c r="P15">
        <v>60</v>
      </c>
      <c r="Q15">
        <v>-46</v>
      </c>
      <c r="R15" t="s">
        <v>105</v>
      </c>
    </row>
    <row r="16" spans="1:19">
      <c r="A16" t="s">
        <v>54</v>
      </c>
      <c r="B16" s="3">
        <v>45637</v>
      </c>
      <c r="C16">
        <v>68.3</v>
      </c>
      <c r="D16">
        <v>70.17</v>
      </c>
      <c r="E16">
        <v>68</v>
      </c>
      <c r="F16">
        <v>68.89</v>
      </c>
      <c r="G16">
        <v>68.39</v>
      </c>
      <c r="H16">
        <v>0.5</v>
      </c>
      <c r="I16">
        <v>0.7311</v>
      </c>
      <c r="J16">
        <v>240399.79</v>
      </c>
      <c r="K16">
        <v>1662485.566</v>
      </c>
      <c r="L16" t="s">
        <v>103</v>
      </c>
      <c r="M16" t="s">
        <v>104</v>
      </c>
      <c r="N16" s="3">
        <v>45709</v>
      </c>
      <c r="O16">
        <v>15</v>
      </c>
      <c r="P16">
        <v>60</v>
      </c>
      <c r="Q16">
        <v>-45</v>
      </c>
      <c r="R16" t="s">
        <v>105</v>
      </c>
    </row>
    <row r="17" spans="1:18">
      <c r="A17" t="s">
        <v>54</v>
      </c>
      <c r="B17" s="3">
        <v>45638</v>
      </c>
      <c r="C17">
        <v>68.89</v>
      </c>
      <c r="D17">
        <v>69.22</v>
      </c>
      <c r="E17">
        <v>67.51</v>
      </c>
      <c r="F17">
        <v>68.7</v>
      </c>
      <c r="G17">
        <v>68.89</v>
      </c>
      <c r="H17">
        <v>-0.19</v>
      </c>
      <c r="I17">
        <v>-0.2758</v>
      </c>
      <c r="J17">
        <v>281355.21</v>
      </c>
      <c r="K17">
        <v>1926897.39</v>
      </c>
      <c r="L17" t="s">
        <v>103</v>
      </c>
      <c r="M17" t="s">
        <v>104</v>
      </c>
      <c r="N17" s="3">
        <v>45709</v>
      </c>
      <c r="O17">
        <v>16</v>
      </c>
      <c r="P17">
        <v>60</v>
      </c>
      <c r="Q17">
        <v>-44</v>
      </c>
      <c r="R17" t="s">
        <v>105</v>
      </c>
    </row>
    <row r="18" spans="1:18">
      <c r="A18" t="s">
        <v>54</v>
      </c>
      <c r="B18" s="3">
        <v>45639</v>
      </c>
      <c r="C18">
        <v>68</v>
      </c>
      <c r="D18">
        <v>70.98</v>
      </c>
      <c r="E18">
        <v>67.8</v>
      </c>
      <c r="F18">
        <v>68.02</v>
      </c>
      <c r="G18">
        <v>68.7</v>
      </c>
      <c r="H18">
        <v>-0.68</v>
      </c>
      <c r="I18">
        <v>-0.9898</v>
      </c>
      <c r="J18">
        <v>676081.8</v>
      </c>
      <c r="K18">
        <v>4719031.243</v>
      </c>
      <c r="L18" t="s">
        <v>103</v>
      </c>
      <c r="M18" t="s">
        <v>104</v>
      </c>
      <c r="N18" s="3">
        <v>45709</v>
      </c>
      <c r="O18">
        <v>17</v>
      </c>
      <c r="P18">
        <v>60</v>
      </c>
      <c r="Q18">
        <v>-43</v>
      </c>
      <c r="R18" t="s">
        <v>105</v>
      </c>
    </row>
    <row r="19" spans="1:18">
      <c r="A19" t="s">
        <v>54</v>
      </c>
      <c r="B19" s="3">
        <v>45642</v>
      </c>
      <c r="C19">
        <v>69.63</v>
      </c>
      <c r="D19">
        <v>71.51</v>
      </c>
      <c r="E19">
        <v>68.38</v>
      </c>
      <c r="F19">
        <v>68.95</v>
      </c>
      <c r="G19">
        <v>68.02</v>
      </c>
      <c r="H19">
        <v>0.93</v>
      </c>
      <c r="I19">
        <v>1.3672</v>
      </c>
      <c r="J19">
        <v>518668.64</v>
      </c>
      <c r="K19">
        <v>3636136.591</v>
      </c>
      <c r="L19" t="s">
        <v>103</v>
      </c>
      <c r="M19" t="s">
        <v>104</v>
      </c>
      <c r="N19" s="3">
        <v>45709</v>
      </c>
      <c r="O19">
        <v>18</v>
      </c>
      <c r="P19">
        <v>60</v>
      </c>
      <c r="Q19">
        <v>-42</v>
      </c>
      <c r="R19" t="s">
        <v>105</v>
      </c>
    </row>
    <row r="20" spans="1:18">
      <c r="A20" t="s">
        <v>54</v>
      </c>
      <c r="B20" s="3">
        <v>45643</v>
      </c>
      <c r="C20">
        <v>69.83</v>
      </c>
      <c r="D20">
        <v>70.9</v>
      </c>
      <c r="E20">
        <v>66.7</v>
      </c>
      <c r="F20">
        <v>66.87</v>
      </c>
      <c r="G20">
        <v>68.95</v>
      </c>
      <c r="H20">
        <v>-2.08</v>
      </c>
      <c r="I20">
        <v>-3.0167</v>
      </c>
      <c r="J20">
        <v>314819.72</v>
      </c>
      <c r="K20">
        <v>2141559.514</v>
      </c>
      <c r="L20" t="s">
        <v>103</v>
      </c>
      <c r="M20" t="s">
        <v>104</v>
      </c>
      <c r="N20" s="3">
        <v>45709</v>
      </c>
      <c r="O20">
        <v>19</v>
      </c>
      <c r="P20">
        <v>60</v>
      </c>
      <c r="Q20">
        <v>-41</v>
      </c>
      <c r="R20" t="s">
        <v>105</v>
      </c>
    </row>
    <row r="21" spans="1:18">
      <c r="A21" t="s">
        <v>54</v>
      </c>
      <c r="B21" s="3">
        <v>45644</v>
      </c>
      <c r="C21">
        <v>67.21</v>
      </c>
      <c r="D21">
        <v>69.53</v>
      </c>
      <c r="E21">
        <v>66.56</v>
      </c>
      <c r="F21">
        <v>68.8</v>
      </c>
      <c r="G21">
        <v>66.87</v>
      </c>
      <c r="H21">
        <v>1.93</v>
      </c>
      <c r="I21">
        <v>2.8862</v>
      </c>
      <c r="J21">
        <v>306451.81</v>
      </c>
      <c r="K21">
        <v>2090618.164</v>
      </c>
      <c r="L21" t="s">
        <v>103</v>
      </c>
      <c r="M21" t="s">
        <v>104</v>
      </c>
      <c r="N21" s="3">
        <v>45709</v>
      </c>
      <c r="O21">
        <v>20</v>
      </c>
      <c r="P21">
        <v>60</v>
      </c>
      <c r="Q21">
        <v>-40</v>
      </c>
      <c r="R21" t="s">
        <v>105</v>
      </c>
    </row>
    <row r="22" spans="1:18">
      <c r="A22" t="s">
        <v>54</v>
      </c>
      <c r="B22" s="3">
        <v>45645</v>
      </c>
      <c r="C22">
        <v>67.5</v>
      </c>
      <c r="D22">
        <v>71.48</v>
      </c>
      <c r="E22">
        <v>67.07</v>
      </c>
      <c r="F22">
        <v>70.79</v>
      </c>
      <c r="G22">
        <v>68.8</v>
      </c>
      <c r="H22">
        <v>1.99</v>
      </c>
      <c r="I22">
        <v>2.8924</v>
      </c>
      <c r="J22">
        <v>411394.08</v>
      </c>
      <c r="K22">
        <v>2871296.665</v>
      </c>
      <c r="L22" t="s">
        <v>103</v>
      </c>
      <c r="M22" t="s">
        <v>104</v>
      </c>
      <c r="N22" s="3">
        <v>45709</v>
      </c>
      <c r="O22">
        <v>21</v>
      </c>
      <c r="P22">
        <v>60</v>
      </c>
      <c r="Q22">
        <v>-39</v>
      </c>
      <c r="R22" t="s">
        <v>105</v>
      </c>
    </row>
    <row r="23" spans="1:18">
      <c r="A23" t="s">
        <v>54</v>
      </c>
      <c r="B23" s="3">
        <v>45646</v>
      </c>
      <c r="C23">
        <v>70</v>
      </c>
      <c r="D23">
        <v>73.57</v>
      </c>
      <c r="E23">
        <v>69.89</v>
      </c>
      <c r="F23">
        <v>72.52</v>
      </c>
      <c r="G23">
        <v>70.79</v>
      </c>
      <c r="H23">
        <v>1.73</v>
      </c>
      <c r="I23">
        <v>2.4438</v>
      </c>
      <c r="J23">
        <v>568323.3</v>
      </c>
      <c r="K23">
        <v>4085360.133</v>
      </c>
      <c r="L23" t="s">
        <v>103</v>
      </c>
      <c r="M23" t="s">
        <v>104</v>
      </c>
      <c r="N23" s="3">
        <v>45709</v>
      </c>
      <c r="O23">
        <v>22</v>
      </c>
      <c r="P23">
        <v>60</v>
      </c>
      <c r="Q23">
        <v>-38</v>
      </c>
      <c r="R23" t="s">
        <v>105</v>
      </c>
    </row>
    <row r="24" spans="1:18">
      <c r="A24" t="s">
        <v>54</v>
      </c>
      <c r="B24" s="3">
        <v>45649</v>
      </c>
      <c r="C24">
        <v>72.52</v>
      </c>
      <c r="D24">
        <v>74.36</v>
      </c>
      <c r="E24">
        <v>70.5</v>
      </c>
      <c r="F24">
        <v>70.92</v>
      </c>
      <c r="G24">
        <v>72.52</v>
      </c>
      <c r="H24">
        <v>-1.6</v>
      </c>
      <c r="I24">
        <v>-2.2063</v>
      </c>
      <c r="J24">
        <v>456109.64</v>
      </c>
      <c r="K24">
        <v>3293190.248</v>
      </c>
      <c r="L24" t="s">
        <v>103</v>
      </c>
      <c r="M24" t="s">
        <v>104</v>
      </c>
      <c r="N24" s="3">
        <v>45709</v>
      </c>
      <c r="O24">
        <v>23</v>
      </c>
      <c r="P24">
        <v>60</v>
      </c>
      <c r="Q24">
        <v>-37</v>
      </c>
      <c r="R24" t="s">
        <v>105</v>
      </c>
    </row>
    <row r="25" spans="1:18">
      <c r="A25" t="s">
        <v>54</v>
      </c>
      <c r="B25" s="3">
        <v>45650</v>
      </c>
      <c r="C25">
        <v>71.01</v>
      </c>
      <c r="D25">
        <v>72.25</v>
      </c>
      <c r="E25">
        <v>69.88</v>
      </c>
      <c r="F25">
        <v>72.18</v>
      </c>
      <c r="G25">
        <v>70.92</v>
      </c>
      <c r="H25">
        <v>1.26</v>
      </c>
      <c r="I25">
        <v>1.7766</v>
      </c>
      <c r="J25">
        <v>318052.93</v>
      </c>
      <c r="K25">
        <v>2263278.716</v>
      </c>
      <c r="L25" t="s">
        <v>103</v>
      </c>
      <c r="M25" t="s">
        <v>104</v>
      </c>
      <c r="N25" s="3">
        <v>45709</v>
      </c>
      <c r="O25">
        <v>24</v>
      </c>
      <c r="P25">
        <v>60</v>
      </c>
      <c r="Q25">
        <v>-36</v>
      </c>
      <c r="R25" t="s">
        <v>105</v>
      </c>
    </row>
    <row r="26" spans="1:18">
      <c r="A26" t="s">
        <v>54</v>
      </c>
      <c r="B26" s="3">
        <v>45651</v>
      </c>
      <c r="C26">
        <v>72</v>
      </c>
      <c r="D26">
        <v>74.08</v>
      </c>
      <c r="E26">
        <v>71.68</v>
      </c>
      <c r="F26">
        <v>72.41</v>
      </c>
      <c r="G26">
        <v>72.18</v>
      </c>
      <c r="H26">
        <v>0.23</v>
      </c>
      <c r="I26">
        <v>0.3186</v>
      </c>
      <c r="J26">
        <v>376690.18</v>
      </c>
      <c r="K26">
        <v>2742000.055</v>
      </c>
      <c r="L26" t="s">
        <v>103</v>
      </c>
      <c r="M26" t="s">
        <v>104</v>
      </c>
      <c r="N26" s="3">
        <v>45709</v>
      </c>
      <c r="O26">
        <v>25</v>
      </c>
      <c r="P26">
        <v>60</v>
      </c>
      <c r="Q26">
        <v>-35</v>
      </c>
      <c r="R26" t="s">
        <v>105</v>
      </c>
    </row>
    <row r="27" spans="1:18">
      <c r="A27" t="s">
        <v>54</v>
      </c>
      <c r="B27" s="3">
        <v>45652</v>
      </c>
      <c r="C27">
        <v>72</v>
      </c>
      <c r="D27">
        <v>80.6</v>
      </c>
      <c r="E27">
        <v>71.49</v>
      </c>
      <c r="F27">
        <v>79.99</v>
      </c>
      <c r="G27">
        <v>72.41</v>
      </c>
      <c r="H27">
        <v>7.58</v>
      </c>
      <c r="I27">
        <v>10.4682</v>
      </c>
      <c r="J27">
        <v>1019007.03</v>
      </c>
      <c r="K27">
        <v>7873027.713</v>
      </c>
      <c r="L27" t="s">
        <v>103</v>
      </c>
      <c r="M27" t="s">
        <v>104</v>
      </c>
      <c r="N27" s="3">
        <v>45709</v>
      </c>
      <c r="O27">
        <v>26</v>
      </c>
      <c r="P27">
        <v>60</v>
      </c>
      <c r="Q27">
        <v>-34</v>
      </c>
      <c r="R27" t="s">
        <v>105</v>
      </c>
    </row>
    <row r="28" spans="1:18">
      <c r="A28" t="s">
        <v>54</v>
      </c>
      <c r="B28" s="3">
        <v>45653</v>
      </c>
      <c r="C28">
        <v>79.66</v>
      </c>
      <c r="D28">
        <v>79.69</v>
      </c>
      <c r="E28">
        <v>75.47</v>
      </c>
      <c r="F28">
        <v>75.48</v>
      </c>
      <c r="G28">
        <v>79.99</v>
      </c>
      <c r="H28">
        <v>-4.51</v>
      </c>
      <c r="I28">
        <v>-5.6382</v>
      </c>
      <c r="J28">
        <v>777580.7</v>
      </c>
      <c r="K28">
        <v>6029331.659</v>
      </c>
      <c r="L28" t="s">
        <v>103</v>
      </c>
      <c r="M28" t="s">
        <v>104</v>
      </c>
      <c r="N28" s="3">
        <v>45709</v>
      </c>
      <c r="O28">
        <v>27</v>
      </c>
      <c r="P28">
        <v>60</v>
      </c>
      <c r="Q28">
        <v>-33</v>
      </c>
      <c r="R28" t="s">
        <v>105</v>
      </c>
    </row>
    <row r="29" spans="1:18">
      <c r="A29" t="s">
        <v>54</v>
      </c>
      <c r="B29" s="3">
        <v>45656</v>
      </c>
      <c r="C29">
        <v>73</v>
      </c>
      <c r="D29">
        <v>73.55</v>
      </c>
      <c r="E29">
        <v>70.97</v>
      </c>
      <c r="F29">
        <v>71.19</v>
      </c>
      <c r="G29">
        <v>75.48</v>
      </c>
      <c r="H29">
        <v>-4.29</v>
      </c>
      <c r="I29">
        <v>-5.6836</v>
      </c>
      <c r="J29">
        <v>681147.45</v>
      </c>
      <c r="K29">
        <v>4910358.82</v>
      </c>
      <c r="L29" t="s">
        <v>103</v>
      </c>
      <c r="M29" t="s">
        <v>104</v>
      </c>
      <c r="N29" s="3">
        <v>45709</v>
      </c>
      <c r="O29">
        <v>28</v>
      </c>
      <c r="P29">
        <v>60</v>
      </c>
      <c r="Q29">
        <v>-32</v>
      </c>
      <c r="R29" t="s">
        <v>105</v>
      </c>
    </row>
    <row r="30" spans="1:18">
      <c r="A30" t="s">
        <v>54</v>
      </c>
      <c r="B30" s="3">
        <v>45657</v>
      </c>
      <c r="C30">
        <v>70.94</v>
      </c>
      <c r="D30">
        <v>71.67</v>
      </c>
      <c r="E30">
        <v>67.65</v>
      </c>
      <c r="F30">
        <v>67.9</v>
      </c>
      <c r="G30">
        <v>71.19</v>
      </c>
      <c r="H30">
        <v>-3.29</v>
      </c>
      <c r="I30">
        <v>-4.6214</v>
      </c>
      <c r="J30">
        <v>447348.09</v>
      </c>
      <c r="K30">
        <v>3107495.548</v>
      </c>
      <c r="L30" t="s">
        <v>103</v>
      </c>
      <c r="M30" t="s">
        <v>104</v>
      </c>
      <c r="N30" s="3">
        <v>45709</v>
      </c>
      <c r="O30">
        <v>29</v>
      </c>
      <c r="P30">
        <v>60</v>
      </c>
      <c r="Q30">
        <v>-31</v>
      </c>
      <c r="R30" t="s">
        <v>105</v>
      </c>
    </row>
    <row r="31" spans="1:18">
      <c r="A31" t="s">
        <v>54</v>
      </c>
      <c r="B31" s="3">
        <v>45659</v>
      </c>
      <c r="C31">
        <v>67.83</v>
      </c>
      <c r="D31">
        <v>68.39</v>
      </c>
      <c r="E31">
        <v>65.3</v>
      </c>
      <c r="F31">
        <v>65.93</v>
      </c>
      <c r="G31">
        <v>67.9</v>
      </c>
      <c r="H31">
        <v>-1.97</v>
      </c>
      <c r="I31">
        <v>-2.9013</v>
      </c>
      <c r="J31">
        <v>357590.6</v>
      </c>
      <c r="K31">
        <v>2383660.096</v>
      </c>
      <c r="L31" t="s">
        <v>103</v>
      </c>
      <c r="M31" t="s">
        <v>104</v>
      </c>
      <c r="N31" s="3">
        <v>45709</v>
      </c>
      <c r="O31">
        <v>30</v>
      </c>
      <c r="P31">
        <v>60</v>
      </c>
      <c r="Q31">
        <v>-30</v>
      </c>
      <c r="R31" t="s">
        <v>105</v>
      </c>
    </row>
    <row r="32" spans="1:18">
      <c r="A32" t="s">
        <v>54</v>
      </c>
      <c r="B32" s="3">
        <v>45660</v>
      </c>
      <c r="C32">
        <v>66.23</v>
      </c>
      <c r="D32">
        <v>67.28</v>
      </c>
      <c r="E32">
        <v>65.08</v>
      </c>
      <c r="F32">
        <v>65.52</v>
      </c>
      <c r="G32">
        <v>65.93</v>
      </c>
      <c r="H32">
        <v>-0.41</v>
      </c>
      <c r="I32">
        <v>-0.6219</v>
      </c>
      <c r="J32">
        <v>295377.25</v>
      </c>
      <c r="K32">
        <v>1955964.029</v>
      </c>
      <c r="L32" t="s">
        <v>103</v>
      </c>
      <c r="M32" t="s">
        <v>104</v>
      </c>
      <c r="N32" s="3">
        <v>45709</v>
      </c>
      <c r="O32">
        <v>31</v>
      </c>
      <c r="P32">
        <v>60</v>
      </c>
      <c r="Q32">
        <v>-29</v>
      </c>
      <c r="R32" t="s">
        <v>105</v>
      </c>
    </row>
    <row r="33" spans="1:18">
      <c r="A33" t="s">
        <v>54</v>
      </c>
      <c r="B33" s="3">
        <v>45663</v>
      </c>
      <c r="C33">
        <v>65.31</v>
      </c>
      <c r="D33">
        <v>65.95</v>
      </c>
      <c r="E33">
        <v>63.5</v>
      </c>
      <c r="F33">
        <v>63.91</v>
      </c>
      <c r="G33">
        <v>65.52</v>
      </c>
      <c r="H33">
        <v>-1.61</v>
      </c>
      <c r="I33">
        <v>-2.4573</v>
      </c>
      <c r="J33">
        <v>217636.63</v>
      </c>
      <c r="K33">
        <v>1405460.486</v>
      </c>
      <c r="L33" t="s">
        <v>103</v>
      </c>
      <c r="M33" t="s">
        <v>104</v>
      </c>
      <c r="N33" s="3">
        <v>45709</v>
      </c>
      <c r="O33">
        <v>32</v>
      </c>
      <c r="P33">
        <v>60</v>
      </c>
      <c r="Q33">
        <v>-28</v>
      </c>
      <c r="R33" t="s">
        <v>105</v>
      </c>
    </row>
    <row r="34" spans="1:18">
      <c r="A34" t="s">
        <v>54</v>
      </c>
      <c r="B34" s="3">
        <v>45664</v>
      </c>
      <c r="C34">
        <v>64.1</v>
      </c>
      <c r="D34">
        <v>66.54</v>
      </c>
      <c r="E34">
        <v>63.8</v>
      </c>
      <c r="F34">
        <v>66.41</v>
      </c>
      <c r="G34">
        <v>63.91</v>
      </c>
      <c r="H34">
        <v>2.5</v>
      </c>
      <c r="I34">
        <v>3.9118</v>
      </c>
      <c r="J34">
        <v>294682.57</v>
      </c>
      <c r="K34">
        <v>1916970.838</v>
      </c>
      <c r="L34" t="s">
        <v>103</v>
      </c>
      <c r="M34" t="s">
        <v>104</v>
      </c>
      <c r="N34" s="3">
        <v>45709</v>
      </c>
      <c r="O34">
        <v>33</v>
      </c>
      <c r="P34">
        <v>60</v>
      </c>
      <c r="Q34">
        <v>-27</v>
      </c>
      <c r="R34" t="s">
        <v>105</v>
      </c>
    </row>
    <row r="35" spans="1:18">
      <c r="A35" t="s">
        <v>54</v>
      </c>
      <c r="B35" s="3">
        <v>45665</v>
      </c>
      <c r="C35">
        <v>65.67</v>
      </c>
      <c r="D35">
        <v>67.9</v>
      </c>
      <c r="E35">
        <v>64.18</v>
      </c>
      <c r="F35">
        <v>66.82</v>
      </c>
      <c r="G35">
        <v>66.41</v>
      </c>
      <c r="H35">
        <v>0.41</v>
      </c>
      <c r="I35">
        <v>0.6174</v>
      </c>
      <c r="J35">
        <v>311056.5</v>
      </c>
      <c r="K35">
        <v>2054491.735</v>
      </c>
      <c r="L35" t="s">
        <v>103</v>
      </c>
      <c r="M35" t="s">
        <v>104</v>
      </c>
      <c r="N35" s="3">
        <v>45709</v>
      </c>
      <c r="O35">
        <v>34</v>
      </c>
      <c r="P35">
        <v>60</v>
      </c>
      <c r="Q35">
        <v>-26</v>
      </c>
      <c r="R35" t="s">
        <v>105</v>
      </c>
    </row>
    <row r="36" spans="1:18">
      <c r="A36" t="s">
        <v>54</v>
      </c>
      <c r="B36" s="3">
        <v>45666</v>
      </c>
      <c r="C36">
        <v>66.21</v>
      </c>
      <c r="D36">
        <v>68.5</v>
      </c>
      <c r="E36">
        <v>66.08</v>
      </c>
      <c r="F36">
        <v>66.3</v>
      </c>
      <c r="G36">
        <v>66.82</v>
      </c>
      <c r="H36">
        <v>-0.52</v>
      </c>
      <c r="I36">
        <v>-0.7782</v>
      </c>
      <c r="J36">
        <v>269521.73</v>
      </c>
      <c r="K36">
        <v>1815372.589</v>
      </c>
      <c r="L36" t="s">
        <v>103</v>
      </c>
      <c r="M36" t="s">
        <v>104</v>
      </c>
      <c r="N36" s="3">
        <v>45709</v>
      </c>
      <c r="O36">
        <v>35</v>
      </c>
      <c r="P36">
        <v>60</v>
      </c>
      <c r="Q36">
        <v>-25</v>
      </c>
      <c r="R36" t="s">
        <v>105</v>
      </c>
    </row>
    <row r="37" spans="1:18">
      <c r="A37" t="s">
        <v>54</v>
      </c>
      <c r="B37" s="3">
        <v>45667</v>
      </c>
      <c r="C37">
        <v>66</v>
      </c>
      <c r="D37">
        <v>67.37</v>
      </c>
      <c r="E37">
        <v>64.08</v>
      </c>
      <c r="F37">
        <v>64.2</v>
      </c>
      <c r="G37">
        <v>66.3</v>
      </c>
      <c r="H37">
        <v>-2.1</v>
      </c>
      <c r="I37">
        <v>-3.1674</v>
      </c>
      <c r="J37">
        <v>293834.52</v>
      </c>
      <c r="K37">
        <v>1934535.925</v>
      </c>
      <c r="L37" t="s">
        <v>103</v>
      </c>
      <c r="M37" t="s">
        <v>104</v>
      </c>
      <c r="N37" s="3">
        <v>45709</v>
      </c>
      <c r="O37">
        <v>36</v>
      </c>
      <c r="P37">
        <v>60</v>
      </c>
      <c r="Q37">
        <v>-24</v>
      </c>
      <c r="R37" t="s">
        <v>105</v>
      </c>
    </row>
    <row r="38" spans="1:18">
      <c r="A38" t="s">
        <v>54</v>
      </c>
      <c r="B38" s="3">
        <v>45670</v>
      </c>
      <c r="C38">
        <v>62.71</v>
      </c>
      <c r="D38">
        <v>63.57</v>
      </c>
      <c r="E38">
        <v>61.8</v>
      </c>
      <c r="F38">
        <v>62.91</v>
      </c>
      <c r="G38">
        <v>64.2</v>
      </c>
      <c r="H38">
        <v>-1.29</v>
      </c>
      <c r="I38">
        <v>-2.0093</v>
      </c>
      <c r="J38">
        <v>242828.09</v>
      </c>
      <c r="K38">
        <v>1523336.14</v>
      </c>
      <c r="L38" t="s">
        <v>103</v>
      </c>
      <c r="M38" t="s">
        <v>104</v>
      </c>
      <c r="N38" s="3">
        <v>45709</v>
      </c>
      <c r="O38">
        <v>37</v>
      </c>
      <c r="P38">
        <v>60</v>
      </c>
      <c r="Q38">
        <v>-23</v>
      </c>
      <c r="R38" t="s">
        <v>105</v>
      </c>
    </row>
    <row r="39" spans="1:18">
      <c r="A39" t="s">
        <v>54</v>
      </c>
      <c r="B39" s="3">
        <v>45671</v>
      </c>
      <c r="C39">
        <v>63.3</v>
      </c>
      <c r="D39">
        <v>66.64</v>
      </c>
      <c r="E39">
        <v>62.81</v>
      </c>
      <c r="F39">
        <v>66.43</v>
      </c>
      <c r="G39">
        <v>62.91</v>
      </c>
      <c r="H39">
        <v>3.52</v>
      </c>
      <c r="I39">
        <v>5.5953</v>
      </c>
      <c r="J39">
        <v>304704.67</v>
      </c>
      <c r="K39">
        <v>1989557.938</v>
      </c>
      <c r="L39" t="s">
        <v>103</v>
      </c>
      <c r="M39" t="s">
        <v>104</v>
      </c>
      <c r="N39" s="3">
        <v>45709</v>
      </c>
      <c r="O39">
        <v>38</v>
      </c>
      <c r="P39">
        <v>60</v>
      </c>
      <c r="Q39">
        <v>-22</v>
      </c>
      <c r="R39" t="s">
        <v>105</v>
      </c>
    </row>
    <row r="40" spans="1:18">
      <c r="A40" t="s">
        <v>54</v>
      </c>
      <c r="B40" s="3">
        <v>45672</v>
      </c>
      <c r="C40">
        <v>66.25</v>
      </c>
      <c r="D40">
        <v>66.95</v>
      </c>
      <c r="E40">
        <v>65.59</v>
      </c>
      <c r="F40">
        <v>66.2</v>
      </c>
      <c r="G40">
        <v>66.43</v>
      </c>
      <c r="H40">
        <v>-0.23</v>
      </c>
      <c r="I40">
        <v>-0.3462</v>
      </c>
      <c r="J40">
        <v>208233.13</v>
      </c>
      <c r="K40">
        <v>1380787.103</v>
      </c>
      <c r="L40" t="s">
        <v>103</v>
      </c>
      <c r="M40" t="s">
        <v>104</v>
      </c>
      <c r="N40" s="3">
        <v>45709</v>
      </c>
      <c r="O40">
        <v>39</v>
      </c>
      <c r="P40">
        <v>60</v>
      </c>
      <c r="Q40">
        <v>-21</v>
      </c>
      <c r="R40" t="s">
        <v>105</v>
      </c>
    </row>
    <row r="41" spans="1:18">
      <c r="A41" t="s">
        <v>54</v>
      </c>
      <c r="B41" s="3">
        <v>45673</v>
      </c>
      <c r="C41">
        <v>66.9</v>
      </c>
      <c r="D41">
        <v>67.67</v>
      </c>
      <c r="E41">
        <v>64.94</v>
      </c>
      <c r="F41">
        <v>66.01</v>
      </c>
      <c r="G41">
        <v>66.2</v>
      </c>
      <c r="H41">
        <v>-0.19</v>
      </c>
      <c r="I41">
        <v>-0.287</v>
      </c>
      <c r="J41">
        <v>252163.72</v>
      </c>
      <c r="K41">
        <v>1670821.352</v>
      </c>
      <c r="L41" t="s">
        <v>103</v>
      </c>
      <c r="M41" t="s">
        <v>104</v>
      </c>
      <c r="N41" s="3">
        <v>45709</v>
      </c>
      <c r="O41">
        <v>40</v>
      </c>
      <c r="P41">
        <v>60</v>
      </c>
      <c r="Q41">
        <v>-20</v>
      </c>
      <c r="R41" t="s">
        <v>105</v>
      </c>
    </row>
    <row r="42" spans="1:18">
      <c r="A42" t="s">
        <v>54</v>
      </c>
      <c r="B42" s="3">
        <v>45674</v>
      </c>
      <c r="C42">
        <v>65.59</v>
      </c>
      <c r="D42">
        <v>67.75</v>
      </c>
      <c r="E42">
        <v>65.41</v>
      </c>
      <c r="F42">
        <v>66.67</v>
      </c>
      <c r="G42">
        <v>66.01</v>
      </c>
      <c r="H42">
        <v>0.66</v>
      </c>
      <c r="I42">
        <v>0.9998</v>
      </c>
      <c r="J42">
        <v>231841.06</v>
      </c>
      <c r="K42">
        <v>1545475.782</v>
      </c>
      <c r="L42" t="s">
        <v>103</v>
      </c>
      <c r="M42" t="s">
        <v>104</v>
      </c>
      <c r="N42" s="3">
        <v>45709</v>
      </c>
      <c r="O42">
        <v>41</v>
      </c>
      <c r="P42">
        <v>60</v>
      </c>
      <c r="Q42">
        <v>-19</v>
      </c>
      <c r="R42" t="s">
        <v>105</v>
      </c>
    </row>
    <row r="43" spans="1:18">
      <c r="A43" t="s">
        <v>54</v>
      </c>
      <c r="B43" s="3">
        <v>45677</v>
      </c>
      <c r="C43">
        <v>67.15</v>
      </c>
      <c r="D43">
        <v>68.03</v>
      </c>
      <c r="E43">
        <v>66.79</v>
      </c>
      <c r="F43">
        <v>67.28</v>
      </c>
      <c r="G43">
        <v>66.67</v>
      </c>
      <c r="H43">
        <v>0.61</v>
      </c>
      <c r="I43">
        <v>0.915</v>
      </c>
      <c r="J43">
        <v>203989.84</v>
      </c>
      <c r="K43">
        <v>1375113.64</v>
      </c>
      <c r="L43" t="s">
        <v>103</v>
      </c>
      <c r="M43" t="s">
        <v>104</v>
      </c>
      <c r="N43" s="3">
        <v>45709</v>
      </c>
      <c r="O43">
        <v>42</v>
      </c>
      <c r="P43">
        <v>60</v>
      </c>
      <c r="Q43">
        <v>-18</v>
      </c>
      <c r="R43" t="s">
        <v>105</v>
      </c>
    </row>
    <row r="44" spans="1:18">
      <c r="A44" t="s">
        <v>54</v>
      </c>
      <c r="B44" s="3">
        <v>45678</v>
      </c>
      <c r="C44">
        <v>68.02</v>
      </c>
      <c r="D44">
        <v>70.33</v>
      </c>
      <c r="E44">
        <v>67.29</v>
      </c>
      <c r="F44">
        <v>70.08</v>
      </c>
      <c r="G44">
        <v>67.28</v>
      </c>
      <c r="H44">
        <v>2.8</v>
      </c>
      <c r="I44">
        <v>4.1617</v>
      </c>
      <c r="J44">
        <v>389769.79</v>
      </c>
      <c r="K44">
        <v>2690266.537</v>
      </c>
      <c r="L44" t="s">
        <v>103</v>
      </c>
      <c r="M44" t="s">
        <v>104</v>
      </c>
      <c r="N44" s="3">
        <v>45709</v>
      </c>
      <c r="O44">
        <v>43</v>
      </c>
      <c r="P44">
        <v>60</v>
      </c>
      <c r="Q44">
        <v>-17</v>
      </c>
      <c r="R44" t="s">
        <v>105</v>
      </c>
    </row>
    <row r="45" spans="1:18">
      <c r="A45" t="s">
        <v>54</v>
      </c>
      <c r="B45" s="3">
        <v>45679</v>
      </c>
      <c r="C45">
        <v>69.95</v>
      </c>
      <c r="D45">
        <v>72.18</v>
      </c>
      <c r="E45">
        <v>69.5</v>
      </c>
      <c r="F45">
        <v>71.32</v>
      </c>
      <c r="G45">
        <v>70.08</v>
      </c>
      <c r="H45">
        <v>1.24</v>
      </c>
      <c r="I45">
        <v>1.7694</v>
      </c>
      <c r="J45">
        <v>363855.85</v>
      </c>
      <c r="K45">
        <v>2591943.536</v>
      </c>
      <c r="L45" t="s">
        <v>103</v>
      </c>
      <c r="M45" t="s">
        <v>104</v>
      </c>
      <c r="N45" s="3">
        <v>45709</v>
      </c>
      <c r="O45">
        <v>44</v>
      </c>
      <c r="P45">
        <v>60</v>
      </c>
      <c r="Q45">
        <v>-16</v>
      </c>
      <c r="R45" t="s">
        <v>105</v>
      </c>
    </row>
    <row r="46" spans="1:18">
      <c r="A46" t="s">
        <v>54</v>
      </c>
      <c r="B46" s="3">
        <v>45680</v>
      </c>
      <c r="C46">
        <v>73</v>
      </c>
      <c r="D46">
        <v>73</v>
      </c>
      <c r="E46">
        <v>69.85</v>
      </c>
      <c r="F46">
        <v>70.1</v>
      </c>
      <c r="G46">
        <v>71.32</v>
      </c>
      <c r="H46">
        <v>-1.22</v>
      </c>
      <c r="I46">
        <v>-1.7106</v>
      </c>
      <c r="J46">
        <v>435392.57</v>
      </c>
      <c r="K46">
        <v>3110791.541</v>
      </c>
      <c r="L46" t="s">
        <v>103</v>
      </c>
      <c r="M46" t="s">
        <v>104</v>
      </c>
      <c r="N46" s="3">
        <v>45709</v>
      </c>
      <c r="O46">
        <v>45</v>
      </c>
      <c r="P46">
        <v>60</v>
      </c>
      <c r="Q46">
        <v>-15</v>
      </c>
      <c r="R46" t="s">
        <v>105</v>
      </c>
    </row>
    <row r="47" spans="1:18">
      <c r="A47" t="s">
        <v>54</v>
      </c>
      <c r="B47" s="3">
        <v>45681</v>
      </c>
      <c r="C47">
        <v>70</v>
      </c>
      <c r="D47">
        <v>71.23</v>
      </c>
      <c r="E47">
        <v>69.77</v>
      </c>
      <c r="F47">
        <v>70.84</v>
      </c>
      <c r="G47">
        <v>70.1</v>
      </c>
      <c r="H47">
        <v>0.74</v>
      </c>
      <c r="I47">
        <v>1.0556</v>
      </c>
      <c r="J47">
        <v>272221.65</v>
      </c>
      <c r="K47">
        <v>1918132.336</v>
      </c>
      <c r="L47" t="s">
        <v>103</v>
      </c>
      <c r="M47" t="s">
        <v>104</v>
      </c>
      <c r="N47" s="3">
        <v>45709</v>
      </c>
      <c r="O47">
        <v>46</v>
      </c>
      <c r="P47">
        <v>60</v>
      </c>
      <c r="Q47">
        <v>-14</v>
      </c>
      <c r="R47" t="s">
        <v>105</v>
      </c>
    </row>
    <row r="48" spans="1:18">
      <c r="A48" t="s">
        <v>54</v>
      </c>
      <c r="B48" s="3">
        <v>45684</v>
      </c>
      <c r="C48">
        <v>71</v>
      </c>
      <c r="D48">
        <v>71.09</v>
      </c>
      <c r="E48">
        <v>68.01</v>
      </c>
      <c r="F48">
        <v>68.04</v>
      </c>
      <c r="G48">
        <v>70.84</v>
      </c>
      <c r="H48">
        <v>-2.8</v>
      </c>
      <c r="I48">
        <v>-3.9526</v>
      </c>
      <c r="J48">
        <v>259095.45</v>
      </c>
      <c r="K48">
        <v>1793009.599</v>
      </c>
      <c r="L48" t="s">
        <v>103</v>
      </c>
      <c r="M48" t="s">
        <v>104</v>
      </c>
      <c r="N48" s="3">
        <v>45709</v>
      </c>
      <c r="O48">
        <v>47</v>
      </c>
      <c r="P48">
        <v>60</v>
      </c>
      <c r="Q48">
        <v>-13</v>
      </c>
      <c r="R48" t="s">
        <v>105</v>
      </c>
    </row>
    <row r="49" spans="1:19">
      <c r="A49" t="s">
        <v>54</v>
      </c>
      <c r="B49" s="3">
        <v>45693</v>
      </c>
      <c r="C49">
        <v>69.93</v>
      </c>
      <c r="D49">
        <v>70.47</v>
      </c>
      <c r="E49">
        <v>68.21</v>
      </c>
      <c r="F49">
        <v>69.4</v>
      </c>
      <c r="G49">
        <v>68.04</v>
      </c>
      <c r="H49">
        <v>1.36</v>
      </c>
      <c r="I49">
        <v>1.9988</v>
      </c>
      <c r="J49">
        <v>333509.77</v>
      </c>
      <c r="K49">
        <v>2310643.853</v>
      </c>
      <c r="L49" t="s">
        <v>103</v>
      </c>
      <c r="M49" t="s">
        <v>104</v>
      </c>
      <c r="N49" s="3">
        <v>45709</v>
      </c>
      <c r="O49">
        <v>48</v>
      </c>
      <c r="P49">
        <v>60</v>
      </c>
      <c r="Q49">
        <v>-12</v>
      </c>
      <c r="R49" t="s">
        <v>105</v>
      </c>
    </row>
    <row r="50" spans="1:19">
      <c r="A50" t="s">
        <v>54</v>
      </c>
      <c r="B50" s="3">
        <v>45694</v>
      </c>
      <c r="C50">
        <v>69</v>
      </c>
      <c r="D50">
        <v>72.33</v>
      </c>
      <c r="E50">
        <v>68.68</v>
      </c>
      <c r="F50">
        <v>71.33</v>
      </c>
      <c r="G50">
        <v>69.4</v>
      </c>
      <c r="H50">
        <v>1.93</v>
      </c>
      <c r="I50">
        <v>2.781</v>
      </c>
      <c r="J50">
        <v>424614.21</v>
      </c>
      <c r="K50">
        <v>3009266.617</v>
      </c>
      <c r="L50" t="s">
        <v>103</v>
      </c>
      <c r="M50" t="s">
        <v>104</v>
      </c>
      <c r="N50" s="3">
        <v>45709</v>
      </c>
      <c r="O50">
        <v>49</v>
      </c>
      <c r="P50">
        <v>60</v>
      </c>
      <c r="Q50">
        <v>-11</v>
      </c>
      <c r="R50" t="s">
        <v>105</v>
      </c>
    </row>
    <row r="51" spans="1:19">
      <c r="A51" t="s">
        <v>54</v>
      </c>
      <c r="B51" s="3">
        <v>45695</v>
      </c>
      <c r="C51">
        <v>71.01</v>
      </c>
      <c r="D51">
        <v>74.08</v>
      </c>
      <c r="E51">
        <v>70.47</v>
      </c>
      <c r="F51">
        <v>72.35</v>
      </c>
      <c r="G51">
        <v>71.33</v>
      </c>
      <c r="H51">
        <v>1.02</v>
      </c>
      <c r="I51">
        <v>1.43</v>
      </c>
      <c r="J51">
        <v>531432.32</v>
      </c>
      <c r="K51">
        <v>3843797.329</v>
      </c>
      <c r="L51" t="s">
        <v>103</v>
      </c>
      <c r="M51" t="s">
        <v>104</v>
      </c>
      <c r="N51" s="3">
        <v>45709</v>
      </c>
      <c r="O51">
        <v>50</v>
      </c>
      <c r="P51">
        <v>60</v>
      </c>
      <c r="Q51">
        <v>-10</v>
      </c>
      <c r="R51" t="s">
        <v>105</v>
      </c>
    </row>
    <row r="52" spans="1:19">
      <c r="A52" t="s">
        <v>54</v>
      </c>
      <c r="B52" s="3">
        <v>45698</v>
      </c>
      <c r="C52">
        <v>72.96</v>
      </c>
      <c r="D52">
        <v>74.05</v>
      </c>
      <c r="E52">
        <v>72.4</v>
      </c>
      <c r="F52">
        <v>72.61</v>
      </c>
      <c r="G52">
        <v>72.35</v>
      </c>
      <c r="H52">
        <v>0.26</v>
      </c>
      <c r="I52">
        <v>0.3594</v>
      </c>
      <c r="J52">
        <v>388117.05</v>
      </c>
      <c r="K52">
        <v>2833975.027</v>
      </c>
      <c r="L52" t="s">
        <v>103</v>
      </c>
      <c r="M52" t="s">
        <v>104</v>
      </c>
      <c r="N52" s="3">
        <v>45709</v>
      </c>
      <c r="O52">
        <v>51</v>
      </c>
      <c r="P52">
        <v>60</v>
      </c>
      <c r="Q52">
        <v>-9</v>
      </c>
      <c r="R52" t="s">
        <v>105</v>
      </c>
    </row>
    <row r="53" spans="1:19">
      <c r="A53" t="s">
        <v>54</v>
      </c>
      <c r="B53" s="3">
        <v>45699</v>
      </c>
      <c r="C53">
        <v>72.2</v>
      </c>
      <c r="D53">
        <v>72.51</v>
      </c>
      <c r="E53">
        <v>70.66</v>
      </c>
      <c r="F53">
        <v>71.78</v>
      </c>
      <c r="G53">
        <v>72.61</v>
      </c>
      <c r="H53">
        <v>-0.83</v>
      </c>
      <c r="I53">
        <v>-1.1431</v>
      </c>
      <c r="J53">
        <v>305074.98</v>
      </c>
      <c r="K53">
        <v>2179454.872</v>
      </c>
      <c r="L53" t="s">
        <v>103</v>
      </c>
      <c r="M53" t="s">
        <v>104</v>
      </c>
      <c r="N53" s="3">
        <v>45709</v>
      </c>
      <c r="O53">
        <v>52</v>
      </c>
      <c r="P53">
        <v>60</v>
      </c>
      <c r="Q53">
        <v>-8</v>
      </c>
      <c r="R53" t="s">
        <v>105</v>
      </c>
    </row>
    <row r="54" spans="1:19">
      <c r="A54" t="s">
        <v>54</v>
      </c>
      <c r="B54" s="3">
        <v>45700</v>
      </c>
      <c r="C54">
        <v>71.98</v>
      </c>
      <c r="D54">
        <v>72.74</v>
      </c>
      <c r="E54">
        <v>70.76</v>
      </c>
      <c r="F54">
        <v>72.43</v>
      </c>
      <c r="G54">
        <v>71.78</v>
      </c>
      <c r="H54">
        <v>0.65</v>
      </c>
      <c r="I54">
        <v>0.9055</v>
      </c>
      <c r="J54">
        <v>413031.56</v>
      </c>
      <c r="K54">
        <v>2969863.36</v>
      </c>
      <c r="L54" t="s">
        <v>103</v>
      </c>
      <c r="M54" t="s">
        <v>104</v>
      </c>
      <c r="N54" s="3">
        <v>45709</v>
      </c>
      <c r="O54">
        <v>53</v>
      </c>
      <c r="P54">
        <v>60</v>
      </c>
      <c r="Q54">
        <v>-7</v>
      </c>
      <c r="R54" t="s">
        <v>105</v>
      </c>
    </row>
    <row r="55" spans="1:19">
      <c r="A55" t="s">
        <v>54</v>
      </c>
      <c r="B55" s="3">
        <v>45701</v>
      </c>
      <c r="C55">
        <v>72.5</v>
      </c>
      <c r="D55">
        <v>72.66</v>
      </c>
      <c r="E55">
        <v>69.91</v>
      </c>
      <c r="F55">
        <v>70</v>
      </c>
      <c r="G55">
        <v>72.43</v>
      </c>
      <c r="H55">
        <v>-2.43</v>
      </c>
      <c r="I55">
        <v>-3.355</v>
      </c>
      <c r="J55">
        <v>352419.1</v>
      </c>
      <c r="K55">
        <v>2491661.845</v>
      </c>
      <c r="L55" t="s">
        <v>103</v>
      </c>
      <c r="M55" t="s">
        <v>104</v>
      </c>
      <c r="N55" s="3">
        <v>45709</v>
      </c>
      <c r="O55">
        <v>54</v>
      </c>
      <c r="P55">
        <v>60</v>
      </c>
      <c r="Q55">
        <v>-6</v>
      </c>
      <c r="R55" t="s">
        <v>105</v>
      </c>
    </row>
    <row r="56" spans="1:19">
      <c r="A56" t="s">
        <v>54</v>
      </c>
      <c r="B56" s="3">
        <v>45702</v>
      </c>
      <c r="C56">
        <v>69.7</v>
      </c>
      <c r="D56">
        <v>74</v>
      </c>
      <c r="E56">
        <v>69.66</v>
      </c>
      <c r="F56">
        <v>73.31</v>
      </c>
      <c r="G56">
        <v>70</v>
      </c>
      <c r="H56">
        <v>3.31</v>
      </c>
      <c r="I56">
        <v>4.7286</v>
      </c>
      <c r="J56">
        <v>559559.05</v>
      </c>
      <c r="K56">
        <v>4054433.689</v>
      </c>
      <c r="L56" t="s">
        <v>103</v>
      </c>
      <c r="M56" t="s">
        <v>104</v>
      </c>
      <c r="N56" s="3">
        <v>45709</v>
      </c>
      <c r="O56">
        <v>55</v>
      </c>
      <c r="P56">
        <v>60</v>
      </c>
      <c r="Q56">
        <v>-5</v>
      </c>
      <c r="R56" t="s">
        <v>105</v>
      </c>
    </row>
    <row r="57" spans="1:19">
      <c r="A57" t="s">
        <v>54</v>
      </c>
      <c r="B57" s="3">
        <v>45705</v>
      </c>
      <c r="C57">
        <v>74.95</v>
      </c>
      <c r="D57">
        <v>76</v>
      </c>
      <c r="E57">
        <v>73.36</v>
      </c>
      <c r="F57">
        <v>74.79</v>
      </c>
      <c r="G57">
        <v>73.31</v>
      </c>
      <c r="H57">
        <v>1.48</v>
      </c>
      <c r="I57">
        <v>2.0188</v>
      </c>
      <c r="J57">
        <v>482884.51</v>
      </c>
      <c r="K57">
        <v>3592198.524</v>
      </c>
      <c r="L57" t="s">
        <v>103</v>
      </c>
      <c r="M57" t="s">
        <v>104</v>
      </c>
      <c r="N57" s="3">
        <v>45709</v>
      </c>
      <c r="O57">
        <v>56</v>
      </c>
      <c r="P57">
        <v>60</v>
      </c>
      <c r="Q57">
        <v>-4</v>
      </c>
      <c r="R57" t="s">
        <v>105</v>
      </c>
    </row>
    <row r="58" spans="1:19">
      <c r="A58" t="s">
        <v>54</v>
      </c>
      <c r="B58" s="3">
        <v>45706</v>
      </c>
      <c r="C58">
        <v>74</v>
      </c>
      <c r="D58">
        <v>75.39</v>
      </c>
      <c r="E58">
        <v>71.6</v>
      </c>
      <c r="F58">
        <v>71.9</v>
      </c>
      <c r="G58">
        <v>74.79</v>
      </c>
      <c r="H58">
        <v>-2.89</v>
      </c>
      <c r="I58">
        <v>-3.8642</v>
      </c>
      <c r="J58">
        <v>365786.05</v>
      </c>
      <c r="K58">
        <v>2691797.369</v>
      </c>
      <c r="L58" t="s">
        <v>103</v>
      </c>
      <c r="M58" t="s">
        <v>104</v>
      </c>
      <c r="N58" s="3">
        <v>45709</v>
      </c>
      <c r="O58">
        <v>57</v>
      </c>
      <c r="P58">
        <v>60</v>
      </c>
      <c r="Q58">
        <v>-3</v>
      </c>
      <c r="R58" t="s">
        <v>105</v>
      </c>
    </row>
    <row r="59" spans="1:19">
      <c r="A59" t="s">
        <v>54</v>
      </c>
      <c r="B59" s="3">
        <v>45707</v>
      </c>
      <c r="C59">
        <v>72.5</v>
      </c>
      <c r="D59">
        <v>74.47</v>
      </c>
      <c r="E59">
        <v>72.09</v>
      </c>
      <c r="F59">
        <v>73.34</v>
      </c>
      <c r="G59">
        <v>71.9</v>
      </c>
      <c r="H59">
        <v>1.44</v>
      </c>
      <c r="I59">
        <v>2.0028</v>
      </c>
      <c r="J59">
        <v>403320.13</v>
      </c>
      <c r="K59">
        <v>2960142.979</v>
      </c>
      <c r="L59" t="s">
        <v>103</v>
      </c>
      <c r="M59" t="s">
        <v>104</v>
      </c>
      <c r="N59" s="3">
        <v>45709</v>
      </c>
      <c r="O59">
        <v>58</v>
      </c>
      <c r="P59">
        <v>60</v>
      </c>
      <c r="Q59">
        <v>-2</v>
      </c>
      <c r="R59" t="s">
        <v>105</v>
      </c>
    </row>
    <row r="60" spans="1:19">
      <c r="A60" t="s">
        <v>54</v>
      </c>
      <c r="B60" s="3">
        <v>45708</v>
      </c>
      <c r="C60">
        <v>73.19</v>
      </c>
      <c r="D60">
        <v>73.41</v>
      </c>
      <c r="E60">
        <v>71.7</v>
      </c>
      <c r="F60">
        <v>72.44</v>
      </c>
      <c r="G60">
        <v>73.34</v>
      </c>
      <c r="H60">
        <v>-0.9</v>
      </c>
      <c r="I60">
        <v>-1.2272</v>
      </c>
      <c r="J60">
        <v>332343.95</v>
      </c>
      <c r="K60">
        <v>2410022.127</v>
      </c>
      <c r="L60" t="s">
        <v>103</v>
      </c>
      <c r="M60" t="s">
        <v>104</v>
      </c>
      <c r="N60" s="3">
        <v>45709</v>
      </c>
      <c r="O60">
        <v>59</v>
      </c>
      <c r="P60">
        <v>60</v>
      </c>
      <c r="Q60">
        <v>-1</v>
      </c>
      <c r="R60" t="s">
        <v>105</v>
      </c>
    </row>
    <row r="61" spans="1:19">
      <c r="A61" t="s">
        <v>54</v>
      </c>
      <c r="B61" s="3">
        <v>45709</v>
      </c>
      <c r="C61">
        <v>73</v>
      </c>
      <c r="D61">
        <v>78.46</v>
      </c>
      <c r="E61">
        <v>73</v>
      </c>
      <c r="F61">
        <v>77.01</v>
      </c>
      <c r="G61">
        <v>72.44</v>
      </c>
      <c r="H61">
        <v>4.57</v>
      </c>
      <c r="I61">
        <v>6.3087</v>
      </c>
      <c r="J61">
        <v>708295.87</v>
      </c>
      <c r="K61">
        <v>5359593.784</v>
      </c>
      <c r="L61" t="s">
        <v>103</v>
      </c>
      <c r="M61" t="s">
        <v>104</v>
      </c>
      <c r="N61" s="3">
        <v>45709</v>
      </c>
      <c r="O61">
        <v>60</v>
      </c>
      <c r="P61">
        <v>60</v>
      </c>
      <c r="Q61">
        <v>0</v>
      </c>
      <c r="R61" t="s">
        <v>106</v>
      </c>
      <c r="S61" t="s">
        <v>154</v>
      </c>
    </row>
    <row r="62" spans="1:19">
      <c r="A62" t="s">
        <v>54</v>
      </c>
      <c r="B62" s="3">
        <v>45712</v>
      </c>
      <c r="C62">
        <v>77.7</v>
      </c>
      <c r="D62">
        <v>79.64</v>
      </c>
      <c r="E62">
        <v>76.47</v>
      </c>
      <c r="F62">
        <v>77.67</v>
      </c>
      <c r="G62">
        <v>77.01</v>
      </c>
      <c r="H62">
        <v>0.66</v>
      </c>
      <c r="I62">
        <v>0.857</v>
      </c>
      <c r="J62">
        <v>555016.8</v>
      </c>
      <c r="K62">
        <v>4326030.747</v>
      </c>
      <c r="L62" t="s">
        <v>103</v>
      </c>
      <c r="M62" t="s">
        <v>104</v>
      </c>
      <c r="N62" s="3">
        <v>45709</v>
      </c>
      <c r="O62">
        <v>61</v>
      </c>
      <c r="P62">
        <v>60</v>
      </c>
      <c r="Q62">
        <v>1</v>
      </c>
      <c r="R62" t="s">
        <v>107</v>
      </c>
    </row>
    <row r="63" spans="1:19">
      <c r="A63" t="s">
        <v>54</v>
      </c>
      <c r="B63" s="3">
        <v>45713</v>
      </c>
      <c r="C63">
        <v>77.3</v>
      </c>
      <c r="D63">
        <v>83</v>
      </c>
      <c r="E63">
        <v>76.86</v>
      </c>
      <c r="F63">
        <v>79.84</v>
      </c>
      <c r="G63">
        <v>77.67</v>
      </c>
      <c r="H63">
        <v>2.17</v>
      </c>
      <c r="I63">
        <v>2.7939</v>
      </c>
      <c r="J63">
        <v>771197.55</v>
      </c>
      <c r="K63">
        <v>6173145.324</v>
      </c>
      <c r="L63" t="s">
        <v>103</v>
      </c>
      <c r="M63" t="s">
        <v>104</v>
      </c>
      <c r="N63" s="3">
        <v>45709</v>
      </c>
      <c r="O63">
        <v>62</v>
      </c>
      <c r="P63">
        <v>60</v>
      </c>
      <c r="Q63">
        <v>2</v>
      </c>
      <c r="R63" t="s">
        <v>107</v>
      </c>
    </row>
    <row r="64" spans="1:19">
      <c r="A64" t="s">
        <v>54</v>
      </c>
      <c r="B64" s="3">
        <v>45714</v>
      </c>
      <c r="C64">
        <v>80.85</v>
      </c>
      <c r="D64">
        <v>83.47</v>
      </c>
      <c r="E64">
        <v>79.4</v>
      </c>
      <c r="F64">
        <v>81.66</v>
      </c>
      <c r="G64">
        <v>79.84</v>
      </c>
      <c r="H64">
        <v>1.82</v>
      </c>
      <c r="I64">
        <v>2.2796</v>
      </c>
      <c r="J64">
        <v>636599.16</v>
      </c>
      <c r="K64">
        <v>5206495.817</v>
      </c>
      <c r="L64" t="s">
        <v>103</v>
      </c>
      <c r="M64" t="s">
        <v>104</v>
      </c>
      <c r="N64" s="3">
        <v>45709</v>
      </c>
      <c r="O64">
        <v>63</v>
      </c>
      <c r="P64">
        <v>60</v>
      </c>
      <c r="Q64">
        <v>3</v>
      </c>
      <c r="R64" t="s">
        <v>107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56</v>
      </c>
    </row>
    <row r="3" spans="1:2">
      <c r="A3" s="5" t="s">
        <v>75</v>
      </c>
      <c r="B3" s="6" t="s">
        <v>57</v>
      </c>
    </row>
    <row r="4" spans="1:2">
      <c r="A4" s="5" t="s">
        <v>2</v>
      </c>
      <c r="B4" s="7">
        <v>46006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46004</v>
      </c>
    </row>
    <row r="9" spans="1:2">
      <c r="A9" s="5" t="s">
        <v>1</v>
      </c>
      <c r="B9">
        <v>46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30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155</v>
      </c>
    </row>
    <row r="14" spans="1:2">
      <c r="A14" s="5" t="s">
        <v>13</v>
      </c>
      <c r="B14" s="9" t="s">
        <v>156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56</v>
      </c>
      <c r="B2" s="3">
        <v>45915</v>
      </c>
      <c r="C2">
        <v>77.95</v>
      </c>
      <c r="D2">
        <v>79</v>
      </c>
      <c r="E2">
        <v>75.01</v>
      </c>
      <c r="F2">
        <v>75.53</v>
      </c>
      <c r="G2">
        <v>78.25</v>
      </c>
      <c r="H2">
        <v>-2.72</v>
      </c>
      <c r="I2">
        <v>-3.476</v>
      </c>
      <c r="J2">
        <v>86192.99</v>
      </c>
      <c r="K2">
        <v>656212.79</v>
      </c>
      <c r="L2" t="s">
        <v>103</v>
      </c>
      <c r="M2" t="s">
        <v>104</v>
      </c>
      <c r="N2" s="3">
        <v>46006</v>
      </c>
      <c r="O2">
        <v>1</v>
      </c>
      <c r="P2">
        <v>60</v>
      </c>
      <c r="Q2">
        <v>-59</v>
      </c>
      <c r="R2" t="s">
        <v>105</v>
      </c>
    </row>
    <row r="3" spans="1:19">
      <c r="A3" t="s">
        <v>56</v>
      </c>
      <c r="B3" s="3">
        <v>45916</v>
      </c>
      <c r="C3">
        <v>75.91</v>
      </c>
      <c r="D3">
        <v>76</v>
      </c>
      <c r="E3">
        <v>73.7</v>
      </c>
      <c r="F3">
        <v>75.19</v>
      </c>
      <c r="G3">
        <v>75.53</v>
      </c>
      <c r="H3">
        <v>-0.34</v>
      </c>
      <c r="I3">
        <v>-0.4502</v>
      </c>
      <c r="J3">
        <v>60559.46</v>
      </c>
      <c r="K3">
        <v>454637.942</v>
      </c>
      <c r="L3" t="s">
        <v>103</v>
      </c>
      <c r="M3" t="s">
        <v>104</v>
      </c>
      <c r="N3" s="3">
        <v>46006</v>
      </c>
      <c r="O3">
        <v>2</v>
      </c>
      <c r="P3">
        <v>60</v>
      </c>
      <c r="Q3">
        <v>-58</v>
      </c>
      <c r="R3" t="s">
        <v>105</v>
      </c>
    </row>
    <row r="4" spans="1:19">
      <c r="A4" t="s">
        <v>56</v>
      </c>
      <c r="B4" s="3">
        <v>45917</v>
      </c>
      <c r="C4">
        <v>74.7</v>
      </c>
      <c r="D4">
        <v>77.34</v>
      </c>
      <c r="E4">
        <v>74.36</v>
      </c>
      <c r="F4">
        <v>76.14</v>
      </c>
      <c r="G4">
        <v>75.19</v>
      </c>
      <c r="H4">
        <v>0.95</v>
      </c>
      <c r="I4">
        <v>1.2635</v>
      </c>
      <c r="J4">
        <v>72624.55</v>
      </c>
      <c r="K4">
        <v>551747.842</v>
      </c>
      <c r="L4" t="s">
        <v>103</v>
      </c>
      <c r="M4" t="s">
        <v>104</v>
      </c>
      <c r="N4" s="3">
        <v>46006</v>
      </c>
      <c r="O4">
        <v>3</v>
      </c>
      <c r="P4">
        <v>60</v>
      </c>
      <c r="Q4">
        <v>-57</v>
      </c>
      <c r="R4" t="s">
        <v>105</v>
      </c>
    </row>
    <row r="5" spans="1:19">
      <c r="A5" t="s">
        <v>56</v>
      </c>
      <c r="B5" s="3">
        <v>45918</v>
      </c>
      <c r="C5">
        <v>76</v>
      </c>
      <c r="D5">
        <v>79.83</v>
      </c>
      <c r="E5">
        <v>74.51</v>
      </c>
      <c r="F5">
        <v>75.76</v>
      </c>
      <c r="G5">
        <v>76.14</v>
      </c>
      <c r="H5">
        <v>-0.38</v>
      </c>
      <c r="I5">
        <v>-0.4991</v>
      </c>
      <c r="J5">
        <v>115672.27</v>
      </c>
      <c r="K5">
        <v>895494.019</v>
      </c>
      <c r="L5" t="s">
        <v>103</v>
      </c>
      <c r="M5" t="s">
        <v>104</v>
      </c>
      <c r="N5" s="3">
        <v>46006</v>
      </c>
      <c r="O5">
        <v>4</v>
      </c>
      <c r="P5">
        <v>60</v>
      </c>
      <c r="Q5">
        <v>-56</v>
      </c>
      <c r="R5" t="s">
        <v>105</v>
      </c>
    </row>
    <row r="6" spans="1:19">
      <c r="A6" t="s">
        <v>56</v>
      </c>
      <c r="B6" s="3">
        <v>45919</v>
      </c>
      <c r="C6">
        <v>76.62</v>
      </c>
      <c r="D6">
        <v>80.17</v>
      </c>
      <c r="E6">
        <v>75.8</v>
      </c>
      <c r="F6">
        <v>77</v>
      </c>
      <c r="G6">
        <v>75.76</v>
      </c>
      <c r="H6">
        <v>1.24</v>
      </c>
      <c r="I6">
        <v>1.6367</v>
      </c>
      <c r="J6">
        <v>98890.82</v>
      </c>
      <c r="K6">
        <v>770500.508</v>
      </c>
      <c r="L6" t="s">
        <v>103</v>
      </c>
      <c r="M6" t="s">
        <v>104</v>
      </c>
      <c r="N6" s="3">
        <v>46006</v>
      </c>
      <c r="O6">
        <v>5</v>
      </c>
      <c r="P6">
        <v>60</v>
      </c>
      <c r="Q6">
        <v>-55</v>
      </c>
      <c r="R6" t="s">
        <v>105</v>
      </c>
    </row>
    <row r="7" spans="1:19">
      <c r="A7" t="s">
        <v>56</v>
      </c>
      <c r="B7" s="3">
        <v>45922</v>
      </c>
      <c r="C7">
        <v>77.89</v>
      </c>
      <c r="D7">
        <v>79.85</v>
      </c>
      <c r="E7">
        <v>76.2</v>
      </c>
      <c r="F7">
        <v>79.2</v>
      </c>
      <c r="G7">
        <v>77</v>
      </c>
      <c r="H7">
        <v>2.2</v>
      </c>
      <c r="I7">
        <v>2.8571</v>
      </c>
      <c r="J7">
        <v>96463.31</v>
      </c>
      <c r="K7">
        <v>758382.095</v>
      </c>
      <c r="L7" t="s">
        <v>103</v>
      </c>
      <c r="M7" t="s">
        <v>104</v>
      </c>
      <c r="N7" s="3">
        <v>46006</v>
      </c>
      <c r="O7">
        <v>6</v>
      </c>
      <c r="P7">
        <v>60</v>
      </c>
      <c r="Q7">
        <v>-54</v>
      </c>
      <c r="R7" t="s">
        <v>105</v>
      </c>
    </row>
    <row r="8" spans="1:19">
      <c r="A8" t="s">
        <v>56</v>
      </c>
      <c r="B8" s="3">
        <v>45923</v>
      </c>
      <c r="C8">
        <v>80.57</v>
      </c>
      <c r="D8">
        <v>80.99</v>
      </c>
      <c r="E8">
        <v>72.27</v>
      </c>
      <c r="F8">
        <v>75.36</v>
      </c>
      <c r="G8">
        <v>79.2</v>
      </c>
      <c r="H8">
        <v>-3.84</v>
      </c>
      <c r="I8">
        <v>-4.8485</v>
      </c>
      <c r="J8">
        <v>125805.39</v>
      </c>
      <c r="K8">
        <v>948669.129</v>
      </c>
      <c r="L8" t="s">
        <v>103</v>
      </c>
      <c r="M8" t="s">
        <v>104</v>
      </c>
      <c r="N8" s="3">
        <v>46006</v>
      </c>
      <c r="O8">
        <v>7</v>
      </c>
      <c r="P8">
        <v>60</v>
      </c>
      <c r="Q8">
        <v>-53</v>
      </c>
      <c r="R8" t="s">
        <v>105</v>
      </c>
    </row>
    <row r="9" spans="1:19">
      <c r="A9" t="s">
        <v>56</v>
      </c>
      <c r="B9" s="3">
        <v>45924</v>
      </c>
      <c r="C9">
        <v>73</v>
      </c>
      <c r="D9">
        <v>76.8</v>
      </c>
      <c r="E9">
        <v>72.2</v>
      </c>
      <c r="F9">
        <v>75.5</v>
      </c>
      <c r="G9">
        <v>75.36</v>
      </c>
      <c r="H9">
        <v>0.14</v>
      </c>
      <c r="I9">
        <v>0.1858</v>
      </c>
      <c r="J9">
        <v>90764.1</v>
      </c>
      <c r="K9">
        <v>677275.891</v>
      </c>
      <c r="L9" t="s">
        <v>103</v>
      </c>
      <c r="M9" t="s">
        <v>104</v>
      </c>
      <c r="N9" s="3">
        <v>46006</v>
      </c>
      <c r="O9">
        <v>8</v>
      </c>
      <c r="P9">
        <v>60</v>
      </c>
      <c r="Q9">
        <v>-52</v>
      </c>
      <c r="R9" t="s">
        <v>105</v>
      </c>
    </row>
    <row r="10" spans="1:19">
      <c r="A10" t="s">
        <v>56</v>
      </c>
      <c r="B10" s="3">
        <v>45925</v>
      </c>
      <c r="C10">
        <v>75.15</v>
      </c>
      <c r="D10">
        <v>77.44</v>
      </c>
      <c r="E10">
        <v>74.24</v>
      </c>
      <c r="F10">
        <v>75.39</v>
      </c>
      <c r="G10">
        <v>75.5</v>
      </c>
      <c r="H10">
        <v>-0.11</v>
      </c>
      <c r="I10">
        <v>-0.1457</v>
      </c>
      <c r="J10">
        <v>70593.55</v>
      </c>
      <c r="K10">
        <v>535642.776</v>
      </c>
      <c r="L10" t="s">
        <v>103</v>
      </c>
      <c r="M10" t="s">
        <v>104</v>
      </c>
      <c r="N10" s="3">
        <v>46006</v>
      </c>
      <c r="O10">
        <v>9</v>
      </c>
      <c r="P10">
        <v>60</v>
      </c>
      <c r="Q10">
        <v>-51</v>
      </c>
      <c r="R10" t="s">
        <v>105</v>
      </c>
    </row>
    <row r="11" spans="1:19">
      <c r="A11" t="s">
        <v>56</v>
      </c>
      <c r="B11" s="3">
        <v>45926</v>
      </c>
      <c r="C11">
        <v>75</v>
      </c>
      <c r="D11">
        <v>75.68</v>
      </c>
      <c r="E11">
        <v>72.01</v>
      </c>
      <c r="F11">
        <v>72.44</v>
      </c>
      <c r="G11">
        <v>75.39</v>
      </c>
      <c r="H11">
        <v>-2.95</v>
      </c>
      <c r="I11">
        <v>-3.913</v>
      </c>
      <c r="J11">
        <v>69032.21</v>
      </c>
      <c r="K11">
        <v>505796.243</v>
      </c>
      <c r="L11" t="s">
        <v>103</v>
      </c>
      <c r="M11" t="s">
        <v>104</v>
      </c>
      <c r="N11" s="3">
        <v>46006</v>
      </c>
      <c r="O11">
        <v>10</v>
      </c>
      <c r="P11">
        <v>60</v>
      </c>
      <c r="Q11">
        <v>-50</v>
      </c>
      <c r="R11" t="s">
        <v>105</v>
      </c>
    </row>
    <row r="12" spans="1:19">
      <c r="A12" t="s">
        <v>56</v>
      </c>
      <c r="B12" s="3">
        <v>45929</v>
      </c>
      <c r="C12">
        <v>72.42</v>
      </c>
      <c r="D12">
        <v>75.5</v>
      </c>
      <c r="E12">
        <v>72.03</v>
      </c>
      <c r="F12">
        <v>74.9</v>
      </c>
      <c r="G12">
        <v>72.44</v>
      </c>
      <c r="H12">
        <v>2.46</v>
      </c>
      <c r="I12">
        <v>3.3959</v>
      </c>
      <c r="J12">
        <v>72060.07</v>
      </c>
      <c r="K12">
        <v>532708.412</v>
      </c>
      <c r="L12" t="s">
        <v>103</v>
      </c>
      <c r="M12" t="s">
        <v>104</v>
      </c>
      <c r="N12" s="3">
        <v>46006</v>
      </c>
      <c r="O12">
        <v>11</v>
      </c>
      <c r="P12">
        <v>60</v>
      </c>
      <c r="Q12">
        <v>-49</v>
      </c>
      <c r="R12" t="s">
        <v>105</v>
      </c>
    </row>
    <row r="13" spans="1:19">
      <c r="A13" t="s">
        <v>56</v>
      </c>
      <c r="B13" s="3">
        <v>45930</v>
      </c>
      <c r="C13">
        <v>75.3</v>
      </c>
      <c r="D13">
        <v>78.58</v>
      </c>
      <c r="E13">
        <v>74.28</v>
      </c>
      <c r="F13">
        <v>75.75</v>
      </c>
      <c r="G13">
        <v>74.9</v>
      </c>
      <c r="H13">
        <v>0.85</v>
      </c>
      <c r="I13">
        <v>1.1348</v>
      </c>
      <c r="J13">
        <v>68892.49</v>
      </c>
      <c r="K13">
        <v>525817.167</v>
      </c>
      <c r="L13" t="s">
        <v>103</v>
      </c>
      <c r="M13" t="s">
        <v>104</v>
      </c>
      <c r="N13" s="3">
        <v>46006</v>
      </c>
      <c r="O13">
        <v>12</v>
      </c>
      <c r="P13">
        <v>60</v>
      </c>
      <c r="Q13">
        <v>-48</v>
      </c>
      <c r="R13" t="s">
        <v>105</v>
      </c>
    </row>
    <row r="14" spans="1:19">
      <c r="A14" t="s">
        <v>56</v>
      </c>
      <c r="B14" s="3">
        <v>45939</v>
      </c>
      <c r="C14">
        <v>77.06</v>
      </c>
      <c r="D14">
        <v>78.3</v>
      </c>
      <c r="E14">
        <v>75.18</v>
      </c>
      <c r="F14">
        <v>75.35</v>
      </c>
      <c r="G14">
        <v>75.75</v>
      </c>
      <c r="H14">
        <v>-0.4</v>
      </c>
      <c r="I14">
        <v>-0.5281</v>
      </c>
      <c r="J14">
        <v>80308.56</v>
      </c>
      <c r="K14">
        <v>615352.742</v>
      </c>
      <c r="L14" t="s">
        <v>103</v>
      </c>
      <c r="M14" t="s">
        <v>104</v>
      </c>
      <c r="N14" s="3">
        <v>46006</v>
      </c>
      <c r="O14">
        <v>13</v>
      </c>
      <c r="P14">
        <v>60</v>
      </c>
      <c r="Q14">
        <v>-47</v>
      </c>
      <c r="R14" t="s">
        <v>105</v>
      </c>
    </row>
    <row r="15" spans="1:19">
      <c r="A15" t="s">
        <v>56</v>
      </c>
      <c r="B15" s="3">
        <v>45940</v>
      </c>
      <c r="C15">
        <v>75.16</v>
      </c>
      <c r="D15">
        <v>75.16</v>
      </c>
      <c r="E15">
        <v>68.1</v>
      </c>
      <c r="F15">
        <v>68.73</v>
      </c>
      <c r="G15">
        <v>75.35</v>
      </c>
      <c r="H15">
        <v>-6.62</v>
      </c>
      <c r="I15">
        <v>-8.7857</v>
      </c>
      <c r="J15">
        <v>113890.52</v>
      </c>
      <c r="K15">
        <v>804519.111</v>
      </c>
      <c r="L15" t="s">
        <v>103</v>
      </c>
      <c r="M15" t="s">
        <v>104</v>
      </c>
      <c r="N15" s="3">
        <v>46006</v>
      </c>
      <c r="O15">
        <v>14</v>
      </c>
      <c r="P15">
        <v>60</v>
      </c>
      <c r="Q15">
        <v>-46</v>
      </c>
      <c r="R15" t="s">
        <v>105</v>
      </c>
    </row>
    <row r="16" spans="1:19">
      <c r="A16" t="s">
        <v>56</v>
      </c>
      <c r="B16" s="3">
        <v>45943</v>
      </c>
      <c r="C16">
        <v>63.88</v>
      </c>
      <c r="D16">
        <v>69.3</v>
      </c>
      <c r="E16">
        <v>63.88</v>
      </c>
      <c r="F16">
        <v>68.66</v>
      </c>
      <c r="G16">
        <v>68.73</v>
      </c>
      <c r="H16">
        <v>-0.07</v>
      </c>
      <c r="I16">
        <v>-0.1018</v>
      </c>
      <c r="J16">
        <v>65329.72</v>
      </c>
      <c r="K16">
        <v>441770.501</v>
      </c>
      <c r="L16" t="s">
        <v>103</v>
      </c>
      <c r="M16" t="s">
        <v>104</v>
      </c>
      <c r="N16" s="3">
        <v>46006</v>
      </c>
      <c r="O16">
        <v>15</v>
      </c>
      <c r="P16">
        <v>60</v>
      </c>
      <c r="Q16">
        <v>-45</v>
      </c>
      <c r="R16" t="s">
        <v>105</v>
      </c>
    </row>
    <row r="17" spans="1:18">
      <c r="A17" t="s">
        <v>56</v>
      </c>
      <c r="B17" s="3">
        <v>45944</v>
      </c>
      <c r="C17">
        <v>69.67</v>
      </c>
      <c r="D17">
        <v>71.5</v>
      </c>
      <c r="E17">
        <v>65.93</v>
      </c>
      <c r="F17">
        <v>66.35</v>
      </c>
      <c r="G17">
        <v>68.66</v>
      </c>
      <c r="H17">
        <v>-2.31</v>
      </c>
      <c r="I17">
        <v>-3.3644</v>
      </c>
      <c r="J17">
        <v>65465.91</v>
      </c>
      <c r="K17">
        <v>449516.689</v>
      </c>
      <c r="L17" t="s">
        <v>103</v>
      </c>
      <c r="M17" t="s">
        <v>104</v>
      </c>
      <c r="N17" s="3">
        <v>46006</v>
      </c>
      <c r="O17">
        <v>16</v>
      </c>
      <c r="P17">
        <v>60</v>
      </c>
      <c r="Q17">
        <v>-44</v>
      </c>
      <c r="R17" t="s">
        <v>105</v>
      </c>
    </row>
    <row r="18" spans="1:18">
      <c r="A18" t="s">
        <v>56</v>
      </c>
      <c r="B18" s="3">
        <v>45945</v>
      </c>
      <c r="C18">
        <v>67.01</v>
      </c>
      <c r="D18">
        <v>67.92</v>
      </c>
      <c r="E18">
        <v>65.63</v>
      </c>
      <c r="F18">
        <v>67.69</v>
      </c>
      <c r="G18">
        <v>66.35</v>
      </c>
      <c r="H18">
        <v>1.34</v>
      </c>
      <c r="I18">
        <v>2.0196</v>
      </c>
      <c r="J18">
        <v>46260.57</v>
      </c>
      <c r="K18">
        <v>310318.976</v>
      </c>
      <c r="L18" t="s">
        <v>103</v>
      </c>
      <c r="M18" t="s">
        <v>104</v>
      </c>
      <c r="N18" s="3">
        <v>46006</v>
      </c>
      <c r="O18">
        <v>17</v>
      </c>
      <c r="P18">
        <v>60</v>
      </c>
      <c r="Q18">
        <v>-43</v>
      </c>
      <c r="R18" t="s">
        <v>105</v>
      </c>
    </row>
    <row r="19" spans="1:18">
      <c r="A19" t="s">
        <v>56</v>
      </c>
      <c r="B19" s="3">
        <v>45946</v>
      </c>
      <c r="C19">
        <v>67.21</v>
      </c>
      <c r="D19">
        <v>69.19</v>
      </c>
      <c r="E19">
        <v>66.77</v>
      </c>
      <c r="F19">
        <v>67.54</v>
      </c>
      <c r="G19">
        <v>67.69</v>
      </c>
      <c r="H19">
        <v>-0.15</v>
      </c>
      <c r="I19">
        <v>-0.2216</v>
      </c>
      <c r="J19">
        <v>41103.79</v>
      </c>
      <c r="K19">
        <v>280202.648</v>
      </c>
      <c r="L19" t="s">
        <v>103</v>
      </c>
      <c r="M19" t="s">
        <v>104</v>
      </c>
      <c r="N19" s="3">
        <v>46006</v>
      </c>
      <c r="O19">
        <v>18</v>
      </c>
      <c r="P19">
        <v>60</v>
      </c>
      <c r="Q19">
        <v>-42</v>
      </c>
      <c r="R19" t="s">
        <v>105</v>
      </c>
    </row>
    <row r="20" spans="1:18">
      <c r="A20" t="s">
        <v>56</v>
      </c>
      <c r="B20" s="3">
        <v>45947</v>
      </c>
      <c r="C20">
        <v>67.16</v>
      </c>
      <c r="D20">
        <v>67.4</v>
      </c>
      <c r="E20">
        <v>63.57</v>
      </c>
      <c r="F20">
        <v>63.7</v>
      </c>
      <c r="G20">
        <v>67.54</v>
      </c>
      <c r="H20">
        <v>-3.84</v>
      </c>
      <c r="I20">
        <v>-5.6855</v>
      </c>
      <c r="J20">
        <v>44972.79</v>
      </c>
      <c r="K20">
        <v>292090.971</v>
      </c>
      <c r="L20" t="s">
        <v>103</v>
      </c>
      <c r="M20" t="s">
        <v>104</v>
      </c>
      <c r="N20" s="3">
        <v>46006</v>
      </c>
      <c r="O20">
        <v>19</v>
      </c>
      <c r="P20">
        <v>60</v>
      </c>
      <c r="Q20">
        <v>-41</v>
      </c>
      <c r="R20" t="s">
        <v>105</v>
      </c>
    </row>
    <row r="21" spans="1:18">
      <c r="A21" t="s">
        <v>56</v>
      </c>
      <c r="B21" s="3">
        <v>45950</v>
      </c>
      <c r="C21">
        <v>66.04</v>
      </c>
      <c r="D21">
        <v>73.26</v>
      </c>
      <c r="E21">
        <v>65</v>
      </c>
      <c r="F21">
        <v>69.68</v>
      </c>
      <c r="G21">
        <v>63.7</v>
      </c>
      <c r="H21">
        <v>5.98</v>
      </c>
      <c r="I21">
        <v>9.3878</v>
      </c>
      <c r="J21">
        <v>115109.84</v>
      </c>
      <c r="K21">
        <v>802917.749</v>
      </c>
      <c r="L21" t="s">
        <v>103</v>
      </c>
      <c r="M21" t="s">
        <v>104</v>
      </c>
      <c r="N21" s="3">
        <v>46006</v>
      </c>
      <c r="O21">
        <v>20</v>
      </c>
      <c r="P21">
        <v>60</v>
      </c>
      <c r="Q21">
        <v>-40</v>
      </c>
      <c r="R21" t="s">
        <v>105</v>
      </c>
    </row>
    <row r="22" spans="1:18">
      <c r="A22" t="s">
        <v>56</v>
      </c>
      <c r="B22" s="3">
        <v>45951</v>
      </c>
      <c r="C22">
        <v>69.86</v>
      </c>
      <c r="D22">
        <v>73.66</v>
      </c>
      <c r="E22">
        <v>69.01</v>
      </c>
      <c r="F22">
        <v>73.26</v>
      </c>
      <c r="G22">
        <v>69.68</v>
      </c>
      <c r="H22">
        <v>3.58</v>
      </c>
      <c r="I22">
        <v>5.1378</v>
      </c>
      <c r="J22">
        <v>81398.93</v>
      </c>
      <c r="K22">
        <v>583668.967</v>
      </c>
      <c r="L22" t="s">
        <v>103</v>
      </c>
      <c r="M22" t="s">
        <v>104</v>
      </c>
      <c r="N22" s="3">
        <v>46006</v>
      </c>
      <c r="O22">
        <v>21</v>
      </c>
      <c r="P22">
        <v>60</v>
      </c>
      <c r="Q22">
        <v>-39</v>
      </c>
      <c r="R22" t="s">
        <v>105</v>
      </c>
    </row>
    <row r="23" spans="1:18">
      <c r="A23" t="s">
        <v>56</v>
      </c>
      <c r="B23" s="3">
        <v>45952</v>
      </c>
      <c r="C23">
        <v>72.33</v>
      </c>
      <c r="D23">
        <v>76.39</v>
      </c>
      <c r="E23">
        <v>71.51</v>
      </c>
      <c r="F23">
        <v>74.69</v>
      </c>
      <c r="G23">
        <v>73.26</v>
      </c>
      <c r="H23">
        <v>1.43</v>
      </c>
      <c r="I23">
        <v>1.952</v>
      </c>
      <c r="J23">
        <v>68974.32</v>
      </c>
      <c r="K23">
        <v>515960.82</v>
      </c>
      <c r="L23" t="s">
        <v>103</v>
      </c>
      <c r="M23" t="s">
        <v>104</v>
      </c>
      <c r="N23" s="3">
        <v>46006</v>
      </c>
      <c r="O23">
        <v>22</v>
      </c>
      <c r="P23">
        <v>60</v>
      </c>
      <c r="Q23">
        <v>-38</v>
      </c>
      <c r="R23" t="s">
        <v>105</v>
      </c>
    </row>
    <row r="24" spans="1:18">
      <c r="A24" t="s">
        <v>56</v>
      </c>
      <c r="B24" s="3">
        <v>45953</v>
      </c>
      <c r="C24">
        <v>73.38</v>
      </c>
      <c r="D24">
        <v>74.66</v>
      </c>
      <c r="E24">
        <v>70.37</v>
      </c>
      <c r="F24">
        <v>72.02</v>
      </c>
      <c r="G24">
        <v>74.69</v>
      </c>
      <c r="H24">
        <v>-2.67</v>
      </c>
      <c r="I24">
        <v>-3.5748</v>
      </c>
      <c r="J24">
        <v>60095.14</v>
      </c>
      <c r="K24">
        <v>431099.359</v>
      </c>
      <c r="L24" t="s">
        <v>103</v>
      </c>
      <c r="M24" t="s">
        <v>104</v>
      </c>
      <c r="N24" s="3">
        <v>46006</v>
      </c>
      <c r="O24">
        <v>23</v>
      </c>
      <c r="P24">
        <v>60</v>
      </c>
      <c r="Q24">
        <v>-37</v>
      </c>
      <c r="R24" t="s">
        <v>105</v>
      </c>
    </row>
    <row r="25" spans="1:18">
      <c r="A25" t="s">
        <v>56</v>
      </c>
      <c r="B25" s="3">
        <v>45954</v>
      </c>
      <c r="C25">
        <v>72.98</v>
      </c>
      <c r="D25">
        <v>75.49</v>
      </c>
      <c r="E25">
        <v>71.58</v>
      </c>
      <c r="F25">
        <v>74.98</v>
      </c>
      <c r="G25">
        <v>72.02</v>
      </c>
      <c r="H25">
        <v>2.96</v>
      </c>
      <c r="I25">
        <v>4.11</v>
      </c>
      <c r="J25">
        <v>71413.01</v>
      </c>
      <c r="K25">
        <v>527961.858</v>
      </c>
      <c r="L25" t="s">
        <v>103</v>
      </c>
      <c r="M25" t="s">
        <v>104</v>
      </c>
      <c r="N25" s="3">
        <v>46006</v>
      </c>
      <c r="O25">
        <v>24</v>
      </c>
      <c r="P25">
        <v>60</v>
      </c>
      <c r="Q25">
        <v>-36</v>
      </c>
      <c r="R25" t="s">
        <v>105</v>
      </c>
    </row>
    <row r="26" spans="1:18">
      <c r="A26" t="s">
        <v>56</v>
      </c>
      <c r="B26" s="3">
        <v>45957</v>
      </c>
      <c r="C26">
        <v>76</v>
      </c>
      <c r="D26">
        <v>76</v>
      </c>
      <c r="E26">
        <v>73.38</v>
      </c>
      <c r="F26">
        <v>74.7</v>
      </c>
      <c r="G26">
        <v>74.98</v>
      </c>
      <c r="H26">
        <v>-0.28</v>
      </c>
      <c r="I26">
        <v>-0.3734</v>
      </c>
      <c r="J26">
        <v>91475.35</v>
      </c>
      <c r="K26">
        <v>681161.306</v>
      </c>
      <c r="L26" t="s">
        <v>103</v>
      </c>
      <c r="M26" t="s">
        <v>104</v>
      </c>
      <c r="N26" s="3">
        <v>46006</v>
      </c>
      <c r="O26">
        <v>25</v>
      </c>
      <c r="P26">
        <v>60</v>
      </c>
      <c r="Q26">
        <v>-35</v>
      </c>
      <c r="R26" t="s">
        <v>105</v>
      </c>
    </row>
    <row r="27" spans="1:18">
      <c r="A27" t="s">
        <v>56</v>
      </c>
      <c r="B27" s="3">
        <v>45958</v>
      </c>
      <c r="C27">
        <v>74.5</v>
      </c>
      <c r="D27">
        <v>75.98</v>
      </c>
      <c r="E27">
        <v>73.5</v>
      </c>
      <c r="F27">
        <v>73.79</v>
      </c>
      <c r="G27">
        <v>74.7</v>
      </c>
      <c r="H27">
        <v>-0.91</v>
      </c>
      <c r="I27">
        <v>-1.2182</v>
      </c>
      <c r="J27">
        <v>69050.7</v>
      </c>
      <c r="K27">
        <v>515502.21</v>
      </c>
      <c r="L27" t="s">
        <v>103</v>
      </c>
      <c r="M27" t="s">
        <v>104</v>
      </c>
      <c r="N27" s="3">
        <v>46006</v>
      </c>
      <c r="O27">
        <v>26</v>
      </c>
      <c r="P27">
        <v>60</v>
      </c>
      <c r="Q27">
        <v>-34</v>
      </c>
      <c r="R27" t="s">
        <v>105</v>
      </c>
    </row>
    <row r="28" spans="1:18">
      <c r="A28" t="s">
        <v>56</v>
      </c>
      <c r="B28" s="3">
        <v>45959</v>
      </c>
      <c r="C28">
        <v>75.58</v>
      </c>
      <c r="D28">
        <v>79.66</v>
      </c>
      <c r="E28">
        <v>75.01</v>
      </c>
      <c r="F28">
        <v>77.16</v>
      </c>
      <c r="G28">
        <v>73.79</v>
      </c>
      <c r="H28">
        <v>3.37</v>
      </c>
      <c r="I28">
        <v>4.567</v>
      </c>
      <c r="J28">
        <v>109029.82</v>
      </c>
      <c r="K28">
        <v>847562.28</v>
      </c>
      <c r="L28" t="s">
        <v>103</v>
      </c>
      <c r="M28" t="s">
        <v>104</v>
      </c>
      <c r="N28" s="3">
        <v>46006</v>
      </c>
      <c r="O28">
        <v>27</v>
      </c>
      <c r="P28">
        <v>60</v>
      </c>
      <c r="Q28">
        <v>-33</v>
      </c>
      <c r="R28" t="s">
        <v>105</v>
      </c>
    </row>
    <row r="29" spans="1:18">
      <c r="A29" t="s">
        <v>56</v>
      </c>
      <c r="B29" s="3">
        <v>45960</v>
      </c>
      <c r="C29">
        <v>75.4</v>
      </c>
      <c r="D29">
        <v>76.86</v>
      </c>
      <c r="E29">
        <v>73.68</v>
      </c>
      <c r="F29">
        <v>74.88</v>
      </c>
      <c r="G29">
        <v>77.16</v>
      </c>
      <c r="H29">
        <v>-2.28</v>
      </c>
      <c r="I29">
        <v>-2.9549</v>
      </c>
      <c r="J29">
        <v>76986.16</v>
      </c>
      <c r="K29">
        <v>577447.574</v>
      </c>
      <c r="L29" t="s">
        <v>103</v>
      </c>
      <c r="M29" t="s">
        <v>104</v>
      </c>
      <c r="N29" s="3">
        <v>46006</v>
      </c>
      <c r="O29">
        <v>28</v>
      </c>
      <c r="P29">
        <v>60</v>
      </c>
      <c r="Q29">
        <v>-32</v>
      </c>
      <c r="R29" t="s">
        <v>105</v>
      </c>
    </row>
    <row r="30" spans="1:18">
      <c r="A30" t="s">
        <v>56</v>
      </c>
      <c r="B30" s="3">
        <v>45961</v>
      </c>
      <c r="C30">
        <v>75.45</v>
      </c>
      <c r="D30">
        <v>75.45</v>
      </c>
      <c r="E30">
        <v>71.92</v>
      </c>
      <c r="F30">
        <v>72.16</v>
      </c>
      <c r="G30">
        <v>74.88</v>
      </c>
      <c r="H30">
        <v>-2.72</v>
      </c>
      <c r="I30">
        <v>-3.6325</v>
      </c>
      <c r="J30">
        <v>55275.24</v>
      </c>
      <c r="K30">
        <v>402664.565</v>
      </c>
      <c r="L30" t="s">
        <v>103</v>
      </c>
      <c r="M30" t="s">
        <v>104</v>
      </c>
      <c r="N30" s="3">
        <v>46006</v>
      </c>
      <c r="O30">
        <v>29</v>
      </c>
      <c r="P30">
        <v>60</v>
      </c>
      <c r="Q30">
        <v>-31</v>
      </c>
      <c r="R30" t="s">
        <v>105</v>
      </c>
    </row>
    <row r="31" spans="1:18">
      <c r="A31" t="s">
        <v>56</v>
      </c>
      <c r="B31" s="3">
        <v>45964</v>
      </c>
      <c r="C31">
        <v>70.05</v>
      </c>
      <c r="D31">
        <v>71.48</v>
      </c>
      <c r="E31">
        <v>67</v>
      </c>
      <c r="F31">
        <v>69.82</v>
      </c>
      <c r="G31">
        <v>72.16</v>
      </c>
      <c r="H31">
        <v>-2.34</v>
      </c>
      <c r="I31">
        <v>-3.2428</v>
      </c>
      <c r="J31">
        <v>70532.46</v>
      </c>
      <c r="K31">
        <v>485420.665</v>
      </c>
      <c r="L31" t="s">
        <v>103</v>
      </c>
      <c r="M31" t="s">
        <v>104</v>
      </c>
      <c r="N31" s="3">
        <v>46006</v>
      </c>
      <c r="O31">
        <v>30</v>
      </c>
      <c r="P31">
        <v>60</v>
      </c>
      <c r="Q31">
        <v>-30</v>
      </c>
      <c r="R31" t="s">
        <v>105</v>
      </c>
    </row>
    <row r="32" spans="1:18">
      <c r="A32" t="s">
        <v>56</v>
      </c>
      <c r="B32" s="3">
        <v>45965</v>
      </c>
      <c r="C32">
        <v>69.84</v>
      </c>
      <c r="D32">
        <v>70.3</v>
      </c>
      <c r="E32">
        <v>67.34</v>
      </c>
      <c r="F32">
        <v>67.88</v>
      </c>
      <c r="G32">
        <v>69.82</v>
      </c>
      <c r="H32">
        <v>-1.94</v>
      </c>
      <c r="I32">
        <v>-2.7786</v>
      </c>
      <c r="J32">
        <v>40252.79</v>
      </c>
      <c r="K32">
        <v>275708.571</v>
      </c>
      <c r="L32" t="s">
        <v>103</v>
      </c>
      <c r="M32" t="s">
        <v>104</v>
      </c>
      <c r="N32" s="3">
        <v>46006</v>
      </c>
      <c r="O32">
        <v>31</v>
      </c>
      <c r="P32">
        <v>60</v>
      </c>
      <c r="Q32">
        <v>-29</v>
      </c>
      <c r="R32" t="s">
        <v>105</v>
      </c>
    </row>
    <row r="33" spans="1:18">
      <c r="A33" t="s">
        <v>56</v>
      </c>
      <c r="B33" s="3">
        <v>45966</v>
      </c>
      <c r="C33">
        <v>66.95</v>
      </c>
      <c r="D33">
        <v>67.8</v>
      </c>
      <c r="E33">
        <v>65.11</v>
      </c>
      <c r="F33">
        <v>66.89</v>
      </c>
      <c r="G33">
        <v>67.88</v>
      </c>
      <c r="H33">
        <v>-0.99</v>
      </c>
      <c r="I33">
        <v>-1.4585</v>
      </c>
      <c r="J33">
        <v>43535.72</v>
      </c>
      <c r="K33">
        <v>288877.014</v>
      </c>
      <c r="L33" t="s">
        <v>103</v>
      </c>
      <c r="M33" t="s">
        <v>104</v>
      </c>
      <c r="N33" s="3">
        <v>46006</v>
      </c>
      <c r="O33">
        <v>32</v>
      </c>
      <c r="P33">
        <v>60</v>
      </c>
      <c r="Q33">
        <v>-28</v>
      </c>
      <c r="R33" t="s">
        <v>105</v>
      </c>
    </row>
    <row r="34" spans="1:18">
      <c r="A34" t="s">
        <v>56</v>
      </c>
      <c r="B34" s="3">
        <v>45967</v>
      </c>
      <c r="C34">
        <v>68.95</v>
      </c>
      <c r="D34">
        <v>80.27</v>
      </c>
      <c r="E34">
        <v>68.3</v>
      </c>
      <c r="F34">
        <v>80.27</v>
      </c>
      <c r="G34">
        <v>66.89</v>
      </c>
      <c r="H34">
        <v>13.38</v>
      </c>
      <c r="I34">
        <v>20.003</v>
      </c>
      <c r="J34">
        <v>226268.65</v>
      </c>
      <c r="K34">
        <v>1730258.551</v>
      </c>
      <c r="L34" t="s">
        <v>103</v>
      </c>
      <c r="M34" t="s">
        <v>104</v>
      </c>
      <c r="N34" s="3">
        <v>46006</v>
      </c>
      <c r="O34">
        <v>33</v>
      </c>
      <c r="P34">
        <v>60</v>
      </c>
      <c r="Q34">
        <v>-27</v>
      </c>
      <c r="R34" t="s">
        <v>105</v>
      </c>
    </row>
    <row r="35" spans="1:18">
      <c r="A35" t="s">
        <v>56</v>
      </c>
      <c r="B35" s="3">
        <v>45968</v>
      </c>
      <c r="C35">
        <v>81.89</v>
      </c>
      <c r="D35">
        <v>91.77</v>
      </c>
      <c r="E35">
        <v>80.48</v>
      </c>
      <c r="F35">
        <v>87.5</v>
      </c>
      <c r="G35">
        <v>80.27</v>
      </c>
      <c r="H35">
        <v>7.23</v>
      </c>
      <c r="I35">
        <v>9.0071</v>
      </c>
      <c r="J35">
        <v>268177.64</v>
      </c>
      <c r="K35">
        <v>2277586.718</v>
      </c>
      <c r="L35" t="s">
        <v>103</v>
      </c>
      <c r="M35" t="s">
        <v>104</v>
      </c>
      <c r="N35" s="3">
        <v>46006</v>
      </c>
      <c r="O35">
        <v>34</v>
      </c>
      <c r="P35">
        <v>60</v>
      </c>
      <c r="Q35">
        <v>-26</v>
      </c>
      <c r="R35" t="s">
        <v>105</v>
      </c>
    </row>
    <row r="36" spans="1:18">
      <c r="A36" t="s">
        <v>56</v>
      </c>
      <c r="B36" s="3">
        <v>45971</v>
      </c>
      <c r="C36">
        <v>86</v>
      </c>
      <c r="D36">
        <v>87.48</v>
      </c>
      <c r="E36">
        <v>82.29</v>
      </c>
      <c r="F36">
        <v>86.7</v>
      </c>
      <c r="G36">
        <v>87.5</v>
      </c>
      <c r="H36">
        <v>-0.8</v>
      </c>
      <c r="I36">
        <v>-0.9143</v>
      </c>
      <c r="J36">
        <v>172705.37</v>
      </c>
      <c r="K36">
        <v>1465677.687</v>
      </c>
      <c r="L36" t="s">
        <v>103</v>
      </c>
      <c r="M36" t="s">
        <v>104</v>
      </c>
      <c r="N36" s="3">
        <v>46006</v>
      </c>
      <c r="O36">
        <v>35</v>
      </c>
      <c r="P36">
        <v>60</v>
      </c>
      <c r="Q36">
        <v>-25</v>
      </c>
      <c r="R36" t="s">
        <v>105</v>
      </c>
    </row>
    <row r="37" spans="1:18">
      <c r="A37" t="s">
        <v>56</v>
      </c>
      <c r="B37" s="3">
        <v>45972</v>
      </c>
      <c r="C37">
        <v>86.71</v>
      </c>
      <c r="D37">
        <v>91.83</v>
      </c>
      <c r="E37">
        <v>85.04</v>
      </c>
      <c r="F37">
        <v>85.5</v>
      </c>
      <c r="G37">
        <v>86.7</v>
      </c>
      <c r="H37">
        <v>-1.2</v>
      </c>
      <c r="I37">
        <v>-1.3841</v>
      </c>
      <c r="J37">
        <v>166069.87</v>
      </c>
      <c r="K37">
        <v>1465082.354</v>
      </c>
      <c r="L37" t="s">
        <v>103</v>
      </c>
      <c r="M37" t="s">
        <v>104</v>
      </c>
      <c r="N37" s="3">
        <v>46006</v>
      </c>
      <c r="O37">
        <v>36</v>
      </c>
      <c r="P37">
        <v>60</v>
      </c>
      <c r="Q37">
        <v>-24</v>
      </c>
      <c r="R37" t="s">
        <v>105</v>
      </c>
    </row>
    <row r="38" spans="1:18">
      <c r="A38" t="s">
        <v>56</v>
      </c>
      <c r="B38" s="3">
        <v>45973</v>
      </c>
      <c r="C38">
        <v>83.91</v>
      </c>
      <c r="D38">
        <v>84.21</v>
      </c>
      <c r="E38">
        <v>78.92</v>
      </c>
      <c r="F38">
        <v>82.49</v>
      </c>
      <c r="G38">
        <v>85.5</v>
      </c>
      <c r="H38">
        <v>-3.01</v>
      </c>
      <c r="I38">
        <v>-3.5205</v>
      </c>
      <c r="J38">
        <v>140148.27</v>
      </c>
      <c r="K38">
        <v>1141900.058</v>
      </c>
      <c r="L38" t="s">
        <v>103</v>
      </c>
      <c r="M38" t="s">
        <v>104</v>
      </c>
      <c r="N38" s="3">
        <v>46006</v>
      </c>
      <c r="O38">
        <v>37</v>
      </c>
      <c r="P38">
        <v>60</v>
      </c>
      <c r="Q38">
        <v>-23</v>
      </c>
      <c r="R38" t="s">
        <v>105</v>
      </c>
    </row>
    <row r="39" spans="1:18">
      <c r="A39" t="s">
        <v>56</v>
      </c>
      <c r="B39" s="3">
        <v>45974</v>
      </c>
      <c r="C39">
        <v>85.35</v>
      </c>
      <c r="D39">
        <v>95.55</v>
      </c>
      <c r="E39">
        <v>83.97</v>
      </c>
      <c r="F39">
        <v>90.41</v>
      </c>
      <c r="G39">
        <v>82.49</v>
      </c>
      <c r="H39">
        <v>7.92</v>
      </c>
      <c r="I39">
        <v>9.6012</v>
      </c>
      <c r="J39">
        <v>186277.7</v>
      </c>
      <c r="K39">
        <v>1686864.982</v>
      </c>
      <c r="L39" t="s">
        <v>103</v>
      </c>
      <c r="M39" t="s">
        <v>104</v>
      </c>
      <c r="N39" s="3">
        <v>46006</v>
      </c>
      <c r="O39">
        <v>38</v>
      </c>
      <c r="P39">
        <v>60</v>
      </c>
      <c r="Q39">
        <v>-22</v>
      </c>
      <c r="R39" t="s">
        <v>105</v>
      </c>
    </row>
    <row r="40" spans="1:18">
      <c r="A40" t="s">
        <v>56</v>
      </c>
      <c r="B40" s="3">
        <v>45975</v>
      </c>
      <c r="C40">
        <v>88.47</v>
      </c>
      <c r="D40">
        <v>89.5</v>
      </c>
      <c r="E40">
        <v>82.01</v>
      </c>
      <c r="F40">
        <v>82.01</v>
      </c>
      <c r="G40">
        <v>90.41</v>
      </c>
      <c r="H40">
        <v>-8.4</v>
      </c>
      <c r="I40">
        <v>-9.291</v>
      </c>
      <c r="J40">
        <v>142308.99</v>
      </c>
      <c r="K40">
        <v>1196716.997</v>
      </c>
      <c r="L40" t="s">
        <v>103</v>
      </c>
      <c r="M40" t="s">
        <v>104</v>
      </c>
      <c r="N40" s="3">
        <v>46006</v>
      </c>
      <c r="O40">
        <v>39</v>
      </c>
      <c r="P40">
        <v>60</v>
      </c>
      <c r="Q40">
        <v>-21</v>
      </c>
      <c r="R40" t="s">
        <v>105</v>
      </c>
    </row>
    <row r="41" spans="1:18">
      <c r="A41" t="s">
        <v>56</v>
      </c>
      <c r="B41" s="3">
        <v>45978</v>
      </c>
      <c r="C41">
        <v>82</v>
      </c>
      <c r="D41">
        <v>84</v>
      </c>
      <c r="E41">
        <v>80.81</v>
      </c>
      <c r="F41">
        <v>83.07</v>
      </c>
      <c r="G41">
        <v>82.01</v>
      </c>
      <c r="H41">
        <v>1.06</v>
      </c>
      <c r="I41">
        <v>1.2925</v>
      </c>
      <c r="J41">
        <v>105146.99</v>
      </c>
      <c r="K41">
        <v>866969.431</v>
      </c>
      <c r="L41" t="s">
        <v>103</v>
      </c>
      <c r="M41" t="s">
        <v>104</v>
      </c>
      <c r="N41" s="3">
        <v>46006</v>
      </c>
      <c r="O41">
        <v>40</v>
      </c>
      <c r="P41">
        <v>60</v>
      </c>
      <c r="Q41">
        <v>-20</v>
      </c>
      <c r="R41" t="s">
        <v>105</v>
      </c>
    </row>
    <row r="42" spans="1:18">
      <c r="A42" t="s">
        <v>56</v>
      </c>
      <c r="B42" s="3">
        <v>45979</v>
      </c>
      <c r="C42">
        <v>84.01</v>
      </c>
      <c r="D42">
        <v>87.87</v>
      </c>
      <c r="E42">
        <v>79.95</v>
      </c>
      <c r="F42">
        <v>84.05</v>
      </c>
      <c r="G42">
        <v>83.07</v>
      </c>
      <c r="H42">
        <v>0.98</v>
      </c>
      <c r="I42">
        <v>1.1797</v>
      </c>
      <c r="J42">
        <v>147228.4</v>
      </c>
      <c r="K42">
        <v>1232936.802</v>
      </c>
      <c r="L42" t="s">
        <v>103</v>
      </c>
      <c r="M42" t="s">
        <v>104</v>
      </c>
      <c r="N42" s="3">
        <v>46006</v>
      </c>
      <c r="O42">
        <v>41</v>
      </c>
      <c r="P42">
        <v>60</v>
      </c>
      <c r="Q42">
        <v>-19</v>
      </c>
      <c r="R42" t="s">
        <v>105</v>
      </c>
    </row>
    <row r="43" spans="1:18">
      <c r="A43" t="s">
        <v>56</v>
      </c>
      <c r="B43" s="3">
        <v>45980</v>
      </c>
      <c r="C43">
        <v>84.56</v>
      </c>
      <c r="D43">
        <v>89.87</v>
      </c>
      <c r="E43">
        <v>83.01</v>
      </c>
      <c r="F43">
        <v>85.73</v>
      </c>
      <c r="G43">
        <v>84.05</v>
      </c>
      <c r="H43">
        <v>1.68</v>
      </c>
      <c r="I43">
        <v>1.9988</v>
      </c>
      <c r="J43">
        <v>150224.13</v>
      </c>
      <c r="K43">
        <v>1295078.914</v>
      </c>
      <c r="L43" t="s">
        <v>103</v>
      </c>
      <c r="M43" t="s">
        <v>104</v>
      </c>
      <c r="N43" s="3">
        <v>46006</v>
      </c>
      <c r="O43">
        <v>42</v>
      </c>
      <c r="P43">
        <v>60</v>
      </c>
      <c r="Q43">
        <v>-18</v>
      </c>
      <c r="R43" t="s">
        <v>105</v>
      </c>
    </row>
    <row r="44" spans="1:18">
      <c r="A44" t="s">
        <v>56</v>
      </c>
      <c r="B44" s="3">
        <v>45981</v>
      </c>
      <c r="C44">
        <v>89.85</v>
      </c>
      <c r="D44">
        <v>89.99</v>
      </c>
      <c r="E44">
        <v>81.01</v>
      </c>
      <c r="F44">
        <v>83.38</v>
      </c>
      <c r="G44">
        <v>85.73</v>
      </c>
      <c r="H44">
        <v>-2.35</v>
      </c>
      <c r="I44">
        <v>-2.7412</v>
      </c>
      <c r="J44">
        <v>144123.84</v>
      </c>
      <c r="K44">
        <v>1204916.706</v>
      </c>
      <c r="L44" t="s">
        <v>103</v>
      </c>
      <c r="M44" t="s">
        <v>104</v>
      </c>
      <c r="N44" s="3">
        <v>46006</v>
      </c>
      <c r="O44">
        <v>43</v>
      </c>
      <c r="P44">
        <v>60</v>
      </c>
      <c r="Q44">
        <v>-17</v>
      </c>
      <c r="R44" t="s">
        <v>105</v>
      </c>
    </row>
    <row r="45" spans="1:18">
      <c r="A45" t="s">
        <v>56</v>
      </c>
      <c r="B45" s="3">
        <v>45982</v>
      </c>
      <c r="C45">
        <v>77.02</v>
      </c>
      <c r="D45">
        <v>78.99</v>
      </c>
      <c r="E45">
        <v>72.22</v>
      </c>
      <c r="F45">
        <v>74.5</v>
      </c>
      <c r="G45">
        <v>83.38</v>
      </c>
      <c r="H45">
        <v>-8.88</v>
      </c>
      <c r="I45">
        <v>-10.65</v>
      </c>
      <c r="J45">
        <v>147947.99</v>
      </c>
      <c r="K45">
        <v>1121348.28</v>
      </c>
      <c r="L45" t="s">
        <v>103</v>
      </c>
      <c r="M45" t="s">
        <v>104</v>
      </c>
      <c r="N45" s="3">
        <v>46006</v>
      </c>
      <c r="O45">
        <v>44</v>
      </c>
      <c r="P45">
        <v>60</v>
      </c>
      <c r="Q45">
        <v>-16</v>
      </c>
      <c r="R45" t="s">
        <v>105</v>
      </c>
    </row>
    <row r="46" spans="1:18">
      <c r="A46" t="s">
        <v>56</v>
      </c>
      <c r="B46" s="3">
        <v>45985</v>
      </c>
      <c r="C46">
        <v>75.61</v>
      </c>
      <c r="D46">
        <v>76.81</v>
      </c>
      <c r="E46">
        <v>73.47</v>
      </c>
      <c r="F46">
        <v>74.41</v>
      </c>
      <c r="G46">
        <v>74.5</v>
      </c>
      <c r="H46">
        <v>-0.09</v>
      </c>
      <c r="I46">
        <v>-0.1208</v>
      </c>
      <c r="J46">
        <v>80626.71</v>
      </c>
      <c r="K46">
        <v>604543.492</v>
      </c>
      <c r="L46" t="s">
        <v>103</v>
      </c>
      <c r="M46" t="s">
        <v>104</v>
      </c>
      <c r="N46" s="3">
        <v>46006</v>
      </c>
      <c r="O46">
        <v>45</v>
      </c>
      <c r="P46">
        <v>60</v>
      </c>
      <c r="Q46">
        <v>-15</v>
      </c>
      <c r="R46" t="s">
        <v>105</v>
      </c>
    </row>
    <row r="47" spans="1:18">
      <c r="A47" t="s">
        <v>56</v>
      </c>
      <c r="B47" s="3">
        <v>45986</v>
      </c>
      <c r="C47">
        <v>77.43</v>
      </c>
      <c r="D47">
        <v>89.29</v>
      </c>
      <c r="E47">
        <v>76.45</v>
      </c>
      <c r="F47">
        <v>89.29</v>
      </c>
      <c r="G47">
        <v>74.41</v>
      </c>
      <c r="H47">
        <v>14.88</v>
      </c>
      <c r="I47">
        <v>19.9973</v>
      </c>
      <c r="J47">
        <v>238291.47</v>
      </c>
      <c r="K47">
        <v>2029006.973</v>
      </c>
      <c r="L47" t="s">
        <v>103</v>
      </c>
      <c r="M47" t="s">
        <v>104</v>
      </c>
      <c r="N47" s="3">
        <v>46006</v>
      </c>
      <c r="O47">
        <v>46</v>
      </c>
      <c r="P47">
        <v>60</v>
      </c>
      <c r="Q47">
        <v>-14</v>
      </c>
      <c r="R47" t="s">
        <v>105</v>
      </c>
    </row>
    <row r="48" spans="1:18">
      <c r="A48" t="s">
        <v>56</v>
      </c>
      <c r="B48" s="3">
        <v>45987</v>
      </c>
      <c r="C48">
        <v>90</v>
      </c>
      <c r="D48">
        <v>107.15</v>
      </c>
      <c r="E48">
        <v>90</v>
      </c>
      <c r="F48">
        <v>107.15</v>
      </c>
      <c r="G48">
        <v>89.29</v>
      </c>
      <c r="H48">
        <v>17.86</v>
      </c>
      <c r="I48">
        <v>20.0022</v>
      </c>
      <c r="J48">
        <v>310887.9</v>
      </c>
      <c r="K48">
        <v>3101125.303</v>
      </c>
      <c r="L48" t="s">
        <v>103</v>
      </c>
      <c r="M48" t="s">
        <v>104</v>
      </c>
      <c r="N48" s="3">
        <v>46006</v>
      </c>
      <c r="O48">
        <v>47</v>
      </c>
      <c r="P48">
        <v>60</v>
      </c>
      <c r="Q48">
        <v>-13</v>
      </c>
      <c r="R48" t="s">
        <v>105</v>
      </c>
    </row>
    <row r="49" spans="1:19">
      <c r="A49" t="s">
        <v>56</v>
      </c>
      <c r="B49" s="3">
        <v>45988</v>
      </c>
      <c r="C49">
        <v>105.9</v>
      </c>
      <c r="D49">
        <v>122</v>
      </c>
      <c r="E49">
        <v>105.9</v>
      </c>
      <c r="F49">
        <v>114.76</v>
      </c>
      <c r="G49">
        <v>107.15</v>
      </c>
      <c r="H49">
        <v>7.61</v>
      </c>
      <c r="I49">
        <v>7.1022</v>
      </c>
      <c r="J49">
        <v>301825.4</v>
      </c>
      <c r="K49">
        <v>3475592.362</v>
      </c>
      <c r="L49" t="s">
        <v>103</v>
      </c>
      <c r="M49" t="s">
        <v>104</v>
      </c>
      <c r="N49" s="3">
        <v>46006</v>
      </c>
      <c r="O49">
        <v>48</v>
      </c>
      <c r="P49">
        <v>60</v>
      </c>
      <c r="Q49">
        <v>-12</v>
      </c>
      <c r="R49" t="s">
        <v>105</v>
      </c>
    </row>
    <row r="50" spans="1:19">
      <c r="A50" t="s">
        <v>56</v>
      </c>
      <c r="B50" s="3">
        <v>45989</v>
      </c>
      <c r="C50">
        <v>114.65</v>
      </c>
      <c r="D50">
        <v>121.11</v>
      </c>
      <c r="E50">
        <v>113</v>
      </c>
      <c r="F50">
        <v>118.7</v>
      </c>
      <c r="G50">
        <v>114.76</v>
      </c>
      <c r="H50">
        <v>3.94</v>
      </c>
      <c r="I50">
        <v>3.4333</v>
      </c>
      <c r="J50">
        <v>200283.27</v>
      </c>
      <c r="K50">
        <v>2345784.305</v>
      </c>
      <c r="L50" t="s">
        <v>103</v>
      </c>
      <c r="M50" t="s">
        <v>104</v>
      </c>
      <c r="N50" s="3">
        <v>46006</v>
      </c>
      <c r="O50">
        <v>49</v>
      </c>
      <c r="P50">
        <v>60</v>
      </c>
      <c r="Q50">
        <v>-11</v>
      </c>
      <c r="R50" t="s">
        <v>105</v>
      </c>
    </row>
    <row r="51" spans="1:19">
      <c r="A51" t="s">
        <v>56</v>
      </c>
      <c r="B51" s="3">
        <v>45992</v>
      </c>
      <c r="C51">
        <v>117.24</v>
      </c>
      <c r="D51">
        <v>117.4</v>
      </c>
      <c r="E51">
        <v>110.54</v>
      </c>
      <c r="F51">
        <v>111.85</v>
      </c>
      <c r="G51">
        <v>118.7</v>
      </c>
      <c r="H51">
        <v>-6.85</v>
      </c>
      <c r="I51">
        <v>-5.7709</v>
      </c>
      <c r="J51">
        <v>180454.57</v>
      </c>
      <c r="K51">
        <v>2042416.354</v>
      </c>
      <c r="L51" t="s">
        <v>103</v>
      </c>
      <c r="M51" t="s">
        <v>104</v>
      </c>
      <c r="N51" s="3">
        <v>46006</v>
      </c>
      <c r="O51">
        <v>50</v>
      </c>
      <c r="P51">
        <v>60</v>
      </c>
      <c r="Q51">
        <v>-10</v>
      </c>
      <c r="R51" t="s">
        <v>105</v>
      </c>
    </row>
    <row r="52" spans="1:19">
      <c r="A52" t="s">
        <v>56</v>
      </c>
      <c r="B52" s="3">
        <v>45993</v>
      </c>
      <c r="C52">
        <v>111.46</v>
      </c>
      <c r="D52">
        <v>114.8</v>
      </c>
      <c r="E52">
        <v>106.61</v>
      </c>
      <c r="F52">
        <v>110.5</v>
      </c>
      <c r="G52">
        <v>111.85</v>
      </c>
      <c r="H52">
        <v>-1.35</v>
      </c>
      <c r="I52">
        <v>-1.207</v>
      </c>
      <c r="J52">
        <v>145982.84</v>
      </c>
      <c r="K52">
        <v>1605033.233</v>
      </c>
      <c r="L52" t="s">
        <v>103</v>
      </c>
      <c r="M52" t="s">
        <v>104</v>
      </c>
      <c r="N52" s="3">
        <v>46006</v>
      </c>
      <c r="O52">
        <v>51</v>
      </c>
      <c r="P52">
        <v>60</v>
      </c>
      <c r="Q52">
        <v>-9</v>
      </c>
      <c r="R52" t="s">
        <v>105</v>
      </c>
    </row>
    <row r="53" spans="1:19">
      <c r="A53" t="s">
        <v>56</v>
      </c>
      <c r="B53" s="3">
        <v>45994</v>
      </c>
      <c r="C53">
        <v>108.51</v>
      </c>
      <c r="D53">
        <v>112.09</v>
      </c>
      <c r="E53">
        <v>107</v>
      </c>
      <c r="F53">
        <v>107.77</v>
      </c>
      <c r="G53">
        <v>110.5</v>
      </c>
      <c r="H53">
        <v>-2.73</v>
      </c>
      <c r="I53">
        <v>-2.4706</v>
      </c>
      <c r="J53">
        <v>107407.7</v>
      </c>
      <c r="K53">
        <v>1171396.841</v>
      </c>
      <c r="L53" t="s">
        <v>103</v>
      </c>
      <c r="M53" t="s">
        <v>104</v>
      </c>
      <c r="N53" s="3">
        <v>46006</v>
      </c>
      <c r="O53">
        <v>52</v>
      </c>
      <c r="P53">
        <v>60</v>
      </c>
      <c r="Q53">
        <v>-8</v>
      </c>
      <c r="R53" t="s">
        <v>105</v>
      </c>
    </row>
    <row r="54" spans="1:19">
      <c r="A54" t="s">
        <v>56</v>
      </c>
      <c r="B54" s="3">
        <v>45995</v>
      </c>
      <c r="C54">
        <v>106.23</v>
      </c>
      <c r="D54">
        <v>110.8</v>
      </c>
      <c r="E54">
        <v>103.51</v>
      </c>
      <c r="F54">
        <v>107.35</v>
      </c>
      <c r="G54">
        <v>107.77</v>
      </c>
      <c r="H54">
        <v>-0.42</v>
      </c>
      <c r="I54">
        <v>-0.3897</v>
      </c>
      <c r="J54">
        <v>136608.63</v>
      </c>
      <c r="K54">
        <v>1459485.9</v>
      </c>
      <c r="L54" t="s">
        <v>103</v>
      </c>
      <c r="M54" t="s">
        <v>104</v>
      </c>
      <c r="N54" s="3">
        <v>46006</v>
      </c>
      <c r="O54">
        <v>53</v>
      </c>
      <c r="P54">
        <v>60</v>
      </c>
      <c r="Q54">
        <v>-7</v>
      </c>
      <c r="R54" t="s">
        <v>105</v>
      </c>
    </row>
    <row r="55" spans="1:19">
      <c r="A55" t="s">
        <v>56</v>
      </c>
      <c r="B55" s="3">
        <v>45996</v>
      </c>
      <c r="C55">
        <v>111</v>
      </c>
      <c r="D55">
        <v>128.82</v>
      </c>
      <c r="E55">
        <v>107.35</v>
      </c>
      <c r="F55">
        <v>128.82</v>
      </c>
      <c r="G55">
        <v>107.35</v>
      </c>
      <c r="H55">
        <v>21.47</v>
      </c>
      <c r="I55">
        <v>20</v>
      </c>
      <c r="J55">
        <v>209407.33</v>
      </c>
      <c r="K55">
        <v>2471427.175</v>
      </c>
      <c r="L55" t="s">
        <v>103</v>
      </c>
      <c r="M55" t="s">
        <v>104</v>
      </c>
      <c r="N55" s="3">
        <v>46006</v>
      </c>
      <c r="O55">
        <v>54</v>
      </c>
      <c r="P55">
        <v>60</v>
      </c>
      <c r="Q55">
        <v>-6</v>
      </c>
      <c r="R55" t="s">
        <v>105</v>
      </c>
    </row>
    <row r="56" spans="1:19">
      <c r="A56" t="s">
        <v>56</v>
      </c>
      <c r="B56" s="3">
        <v>45999</v>
      </c>
      <c r="C56">
        <v>132.18</v>
      </c>
      <c r="D56">
        <v>150.88</v>
      </c>
      <c r="E56">
        <v>129.94</v>
      </c>
      <c r="F56">
        <v>148.48</v>
      </c>
      <c r="G56">
        <v>128.82</v>
      </c>
      <c r="H56">
        <v>19.66</v>
      </c>
      <c r="I56">
        <v>15.2616</v>
      </c>
      <c r="J56">
        <v>246847.2</v>
      </c>
      <c r="K56">
        <v>3462070.669</v>
      </c>
      <c r="L56" t="s">
        <v>103</v>
      </c>
      <c r="M56" t="s">
        <v>104</v>
      </c>
      <c r="N56" s="3">
        <v>46006</v>
      </c>
      <c r="O56">
        <v>55</v>
      </c>
      <c r="P56">
        <v>60</v>
      </c>
      <c r="Q56">
        <v>-5</v>
      </c>
      <c r="R56" t="s">
        <v>105</v>
      </c>
    </row>
    <row r="57" spans="1:19">
      <c r="A57" t="s">
        <v>56</v>
      </c>
      <c r="B57" s="3">
        <v>46000</v>
      </c>
      <c r="C57">
        <v>140.94</v>
      </c>
      <c r="D57">
        <v>145.5</v>
      </c>
      <c r="E57">
        <v>140.58</v>
      </c>
      <c r="F57">
        <v>141.22</v>
      </c>
      <c r="G57">
        <v>148.48</v>
      </c>
      <c r="H57">
        <v>-7.26</v>
      </c>
      <c r="I57">
        <v>-4.8895</v>
      </c>
      <c r="J57">
        <v>195799.21</v>
      </c>
      <c r="K57">
        <v>2793547.669</v>
      </c>
      <c r="L57" t="s">
        <v>103</v>
      </c>
      <c r="M57" t="s">
        <v>104</v>
      </c>
      <c r="N57" s="3">
        <v>46006</v>
      </c>
      <c r="O57">
        <v>56</v>
      </c>
      <c r="P57">
        <v>60</v>
      </c>
      <c r="Q57">
        <v>-4</v>
      </c>
      <c r="R57" t="s">
        <v>105</v>
      </c>
    </row>
    <row r="58" spans="1:19">
      <c r="A58" t="s">
        <v>56</v>
      </c>
      <c r="B58" s="3">
        <v>46001</v>
      </c>
      <c r="C58">
        <v>142.32</v>
      </c>
      <c r="D58">
        <v>156.65</v>
      </c>
      <c r="E58">
        <v>142.26</v>
      </c>
      <c r="F58">
        <v>152.64</v>
      </c>
      <c r="G58">
        <v>141.22</v>
      </c>
      <c r="H58">
        <v>11.42</v>
      </c>
      <c r="I58">
        <v>8.0867</v>
      </c>
      <c r="J58">
        <v>211558</v>
      </c>
      <c r="K58">
        <v>3199253.619</v>
      </c>
      <c r="L58" t="s">
        <v>103</v>
      </c>
      <c r="M58" t="s">
        <v>104</v>
      </c>
      <c r="N58" s="3">
        <v>46006</v>
      </c>
      <c r="O58">
        <v>57</v>
      </c>
      <c r="P58">
        <v>60</v>
      </c>
      <c r="Q58">
        <v>-3</v>
      </c>
      <c r="R58" t="s">
        <v>105</v>
      </c>
    </row>
    <row r="59" spans="1:19">
      <c r="A59" t="s">
        <v>56</v>
      </c>
      <c r="B59" s="3">
        <v>46002</v>
      </c>
      <c r="C59">
        <v>152.64</v>
      </c>
      <c r="D59">
        <v>158.49</v>
      </c>
      <c r="E59">
        <v>147.91</v>
      </c>
      <c r="F59">
        <v>148</v>
      </c>
      <c r="G59">
        <v>152.64</v>
      </c>
      <c r="H59">
        <v>-4.64</v>
      </c>
      <c r="I59">
        <v>-3.0398</v>
      </c>
      <c r="J59">
        <v>178250.96</v>
      </c>
      <c r="K59">
        <v>2705864.863</v>
      </c>
      <c r="L59" t="s">
        <v>103</v>
      </c>
      <c r="M59" t="s">
        <v>104</v>
      </c>
      <c r="N59" s="3">
        <v>46006</v>
      </c>
      <c r="O59">
        <v>58</v>
      </c>
      <c r="P59">
        <v>60</v>
      </c>
      <c r="Q59">
        <v>-2</v>
      </c>
      <c r="R59" t="s">
        <v>105</v>
      </c>
    </row>
    <row r="60" spans="1:19">
      <c r="A60" t="s">
        <v>56</v>
      </c>
      <c r="B60" s="3">
        <v>46003</v>
      </c>
      <c r="C60">
        <v>148</v>
      </c>
      <c r="D60">
        <v>153</v>
      </c>
      <c r="E60">
        <v>145.53</v>
      </c>
      <c r="F60">
        <v>149.28</v>
      </c>
      <c r="G60">
        <v>148</v>
      </c>
      <c r="H60">
        <v>1.28</v>
      </c>
      <c r="I60">
        <v>0.8649</v>
      </c>
      <c r="J60">
        <v>169795.67</v>
      </c>
      <c r="K60">
        <v>2533287.335</v>
      </c>
      <c r="L60" t="s">
        <v>103</v>
      </c>
      <c r="M60" t="s">
        <v>104</v>
      </c>
      <c r="N60" s="3">
        <v>46006</v>
      </c>
      <c r="O60">
        <v>59</v>
      </c>
      <c r="P60">
        <v>60</v>
      </c>
      <c r="Q60">
        <v>-1</v>
      </c>
      <c r="R60" t="s">
        <v>105</v>
      </c>
    </row>
    <row r="61" spans="1:19">
      <c r="A61" t="s">
        <v>56</v>
      </c>
      <c r="B61" s="3">
        <v>46006</v>
      </c>
      <c r="C61">
        <v>140.99</v>
      </c>
      <c r="D61">
        <v>150.7</v>
      </c>
      <c r="E61">
        <v>140.99</v>
      </c>
      <c r="F61">
        <v>144.5</v>
      </c>
      <c r="G61">
        <v>149.28</v>
      </c>
      <c r="H61">
        <v>-4.78</v>
      </c>
      <c r="I61">
        <v>-3.202</v>
      </c>
      <c r="J61">
        <v>135427.37</v>
      </c>
      <c r="K61">
        <v>1959897.809</v>
      </c>
      <c r="L61" t="s">
        <v>103</v>
      </c>
      <c r="M61" t="s">
        <v>104</v>
      </c>
      <c r="N61" s="3">
        <v>46006</v>
      </c>
      <c r="O61">
        <v>60</v>
      </c>
      <c r="P61">
        <v>60</v>
      </c>
      <c r="Q61">
        <v>0</v>
      </c>
      <c r="R61" t="s">
        <v>106</v>
      </c>
      <c r="S61" t="s">
        <v>157</v>
      </c>
    </row>
    <row r="62" spans="1:19">
      <c r="A62" t="s">
        <v>56</v>
      </c>
      <c r="B62" s="3">
        <v>46007</v>
      </c>
      <c r="C62">
        <v>145.99</v>
      </c>
      <c r="D62">
        <v>147.94</v>
      </c>
      <c r="E62">
        <v>137.01</v>
      </c>
      <c r="F62">
        <v>141.76</v>
      </c>
      <c r="G62">
        <v>144.5</v>
      </c>
      <c r="H62">
        <v>-2.74</v>
      </c>
      <c r="I62">
        <v>-1.8962</v>
      </c>
      <c r="J62">
        <v>130871.09</v>
      </c>
      <c r="K62">
        <v>1856971.452</v>
      </c>
      <c r="L62" t="s">
        <v>103</v>
      </c>
      <c r="M62" t="s">
        <v>104</v>
      </c>
      <c r="N62" s="3">
        <v>46006</v>
      </c>
      <c r="O62">
        <v>61</v>
      </c>
      <c r="P62">
        <v>60</v>
      </c>
      <c r="Q62">
        <v>1</v>
      </c>
      <c r="R62" t="s">
        <v>107</v>
      </c>
    </row>
    <row r="63" spans="1:19">
      <c r="A63" t="s">
        <v>56</v>
      </c>
      <c r="B63" s="3">
        <v>46008</v>
      </c>
      <c r="C63">
        <v>143</v>
      </c>
      <c r="D63">
        <v>150.67</v>
      </c>
      <c r="E63">
        <v>142.34</v>
      </c>
      <c r="F63">
        <v>149.5</v>
      </c>
      <c r="G63">
        <v>141.76</v>
      </c>
      <c r="H63">
        <v>7.74</v>
      </c>
      <c r="I63">
        <v>5.4599</v>
      </c>
      <c r="J63">
        <v>192925.09</v>
      </c>
      <c r="K63">
        <v>2847501.148</v>
      </c>
      <c r="L63" t="s">
        <v>103</v>
      </c>
      <c r="M63" t="s">
        <v>104</v>
      </c>
      <c r="N63" s="3">
        <v>46006</v>
      </c>
      <c r="O63">
        <v>62</v>
      </c>
      <c r="P63">
        <v>60</v>
      </c>
      <c r="Q63">
        <v>2</v>
      </c>
      <c r="R63" t="s">
        <v>107</v>
      </c>
    </row>
    <row r="64" spans="1:19">
      <c r="A64" t="s">
        <v>56</v>
      </c>
      <c r="B64" s="3">
        <v>46009</v>
      </c>
      <c r="C64">
        <v>142.2</v>
      </c>
      <c r="D64">
        <v>146.46</v>
      </c>
      <c r="E64">
        <v>139.25</v>
      </c>
      <c r="F64">
        <v>142.13</v>
      </c>
      <c r="G64">
        <v>149.5</v>
      </c>
      <c r="H64">
        <v>-7.37</v>
      </c>
      <c r="I64">
        <v>-4.9298</v>
      </c>
      <c r="J64">
        <v>155611.63</v>
      </c>
      <c r="K64">
        <v>2222312.04</v>
      </c>
      <c r="L64" t="s">
        <v>103</v>
      </c>
      <c r="M64" t="s">
        <v>104</v>
      </c>
      <c r="N64" s="3">
        <v>46006</v>
      </c>
      <c r="O64">
        <v>63</v>
      </c>
      <c r="P64">
        <v>60</v>
      </c>
      <c r="Q64">
        <v>3</v>
      </c>
      <c r="R64" t="s">
        <v>107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58</v>
      </c>
    </row>
    <row r="3" spans="1:2">
      <c r="A3" s="5" t="s">
        <v>75</v>
      </c>
      <c r="B3" s="6" t="s">
        <v>59</v>
      </c>
    </row>
    <row r="4" spans="1:2">
      <c r="A4" s="5" t="s">
        <v>2</v>
      </c>
      <c r="B4" s="7">
        <v>45897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45897</v>
      </c>
    </row>
    <row r="9" spans="1:2">
      <c r="A9" s="5" t="s">
        <v>1</v>
      </c>
      <c r="B9">
        <v>15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158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58</v>
      </c>
      <c r="B2" s="3">
        <v>45805</v>
      </c>
      <c r="C2">
        <v>616.6</v>
      </c>
      <c r="D2">
        <v>620</v>
      </c>
      <c r="E2">
        <v>604.5</v>
      </c>
      <c r="F2">
        <v>609.99</v>
      </c>
      <c r="G2">
        <v>614</v>
      </c>
      <c r="H2">
        <v>-4.01</v>
      </c>
      <c r="I2">
        <v>-0.6531</v>
      </c>
      <c r="J2">
        <v>45488.2</v>
      </c>
      <c r="K2">
        <v>2778767.635</v>
      </c>
      <c r="L2" t="s">
        <v>103</v>
      </c>
      <c r="M2" t="s">
        <v>104</v>
      </c>
      <c r="N2" s="3">
        <v>45897</v>
      </c>
      <c r="O2">
        <v>1</v>
      </c>
      <c r="P2">
        <v>66</v>
      </c>
      <c r="Q2">
        <v>-65</v>
      </c>
      <c r="R2" t="s">
        <v>105</v>
      </c>
    </row>
    <row r="3" spans="1:19">
      <c r="A3" t="s">
        <v>58</v>
      </c>
      <c r="B3" s="3">
        <v>45806</v>
      </c>
      <c r="C3">
        <v>615</v>
      </c>
      <c r="D3">
        <v>619</v>
      </c>
      <c r="E3">
        <v>608</v>
      </c>
      <c r="F3">
        <v>612.9</v>
      </c>
      <c r="G3">
        <v>609.99</v>
      </c>
      <c r="H3">
        <v>2.91</v>
      </c>
      <c r="I3">
        <v>0.4771</v>
      </c>
      <c r="J3">
        <v>43579.91</v>
      </c>
      <c r="K3">
        <v>2675026.744</v>
      </c>
      <c r="L3" t="s">
        <v>103</v>
      </c>
      <c r="M3" t="s">
        <v>104</v>
      </c>
      <c r="N3" s="3">
        <v>45897</v>
      </c>
      <c r="O3">
        <v>2</v>
      </c>
      <c r="P3">
        <v>66</v>
      </c>
      <c r="Q3">
        <v>-64</v>
      </c>
      <c r="R3" t="s">
        <v>105</v>
      </c>
    </row>
    <row r="4" spans="1:19">
      <c r="A4" t="s">
        <v>58</v>
      </c>
      <c r="B4" s="3">
        <v>45807</v>
      </c>
      <c r="C4">
        <v>606</v>
      </c>
      <c r="D4">
        <v>607.77</v>
      </c>
      <c r="E4">
        <v>583</v>
      </c>
      <c r="F4">
        <v>603.66</v>
      </c>
      <c r="G4">
        <v>612.9</v>
      </c>
      <c r="H4">
        <v>-9.24</v>
      </c>
      <c r="I4">
        <v>-1.5076</v>
      </c>
      <c r="J4">
        <v>58613.7</v>
      </c>
      <c r="K4">
        <v>3476241.875</v>
      </c>
      <c r="L4" t="s">
        <v>103</v>
      </c>
      <c r="M4" t="s">
        <v>104</v>
      </c>
      <c r="N4" s="3">
        <v>45897</v>
      </c>
      <c r="O4">
        <v>3</v>
      </c>
      <c r="P4">
        <v>66</v>
      </c>
      <c r="Q4">
        <v>-63</v>
      </c>
      <c r="R4" t="s">
        <v>105</v>
      </c>
    </row>
    <row r="5" spans="1:19">
      <c r="A5" t="s">
        <v>58</v>
      </c>
      <c r="B5" s="3">
        <v>45811</v>
      </c>
      <c r="C5">
        <v>599</v>
      </c>
      <c r="D5">
        <v>606.65</v>
      </c>
      <c r="E5">
        <v>595.01</v>
      </c>
      <c r="F5">
        <v>595.86</v>
      </c>
      <c r="G5">
        <v>603.66</v>
      </c>
      <c r="H5">
        <v>-7.8</v>
      </c>
      <c r="I5">
        <v>-1.2921</v>
      </c>
      <c r="J5">
        <v>35352.49</v>
      </c>
      <c r="K5">
        <v>2120590.464</v>
      </c>
      <c r="L5" t="s">
        <v>103</v>
      </c>
      <c r="M5" t="s">
        <v>104</v>
      </c>
      <c r="N5" s="3">
        <v>45897</v>
      </c>
      <c r="O5">
        <v>4</v>
      </c>
      <c r="P5">
        <v>66</v>
      </c>
      <c r="Q5">
        <v>-62</v>
      </c>
      <c r="R5" t="s">
        <v>105</v>
      </c>
    </row>
    <row r="6" spans="1:19">
      <c r="A6" t="s">
        <v>58</v>
      </c>
      <c r="B6" s="3">
        <v>45812</v>
      </c>
      <c r="C6">
        <v>602</v>
      </c>
      <c r="D6">
        <v>621.33</v>
      </c>
      <c r="E6">
        <v>598.93</v>
      </c>
      <c r="F6">
        <v>607.5</v>
      </c>
      <c r="G6">
        <v>595.86</v>
      </c>
      <c r="H6">
        <v>11.64</v>
      </c>
      <c r="I6">
        <v>1.9535</v>
      </c>
      <c r="J6">
        <v>48951.33</v>
      </c>
      <c r="K6">
        <v>2991239.102</v>
      </c>
      <c r="L6" t="s">
        <v>103</v>
      </c>
      <c r="M6" t="s">
        <v>104</v>
      </c>
      <c r="N6" s="3">
        <v>45897</v>
      </c>
      <c r="O6">
        <v>5</v>
      </c>
      <c r="P6">
        <v>66</v>
      </c>
      <c r="Q6">
        <v>-61</v>
      </c>
      <c r="R6" t="s">
        <v>105</v>
      </c>
    </row>
    <row r="7" spans="1:19">
      <c r="A7" t="s">
        <v>58</v>
      </c>
      <c r="B7" s="3">
        <v>45813</v>
      </c>
      <c r="C7">
        <v>608</v>
      </c>
      <c r="D7">
        <v>628.99</v>
      </c>
      <c r="E7">
        <v>605.07</v>
      </c>
      <c r="F7">
        <v>619.86</v>
      </c>
      <c r="G7">
        <v>607.5</v>
      </c>
      <c r="H7">
        <v>12.36</v>
      </c>
      <c r="I7">
        <v>2.0346</v>
      </c>
      <c r="J7">
        <v>56877.81</v>
      </c>
      <c r="K7">
        <v>3516353.406</v>
      </c>
      <c r="L7" t="s">
        <v>103</v>
      </c>
      <c r="M7" t="s">
        <v>104</v>
      </c>
      <c r="N7" s="3">
        <v>45897</v>
      </c>
      <c r="O7">
        <v>6</v>
      </c>
      <c r="P7">
        <v>66</v>
      </c>
      <c r="Q7">
        <v>-60</v>
      </c>
      <c r="R7" t="s">
        <v>105</v>
      </c>
    </row>
    <row r="8" spans="1:19">
      <c r="A8" t="s">
        <v>58</v>
      </c>
      <c r="B8" s="3">
        <v>45814</v>
      </c>
      <c r="C8">
        <v>620</v>
      </c>
      <c r="D8">
        <v>622.21</v>
      </c>
      <c r="E8">
        <v>606</v>
      </c>
      <c r="F8">
        <v>610</v>
      </c>
      <c r="G8">
        <v>619.86</v>
      </c>
      <c r="H8">
        <v>-9.86</v>
      </c>
      <c r="I8">
        <v>-1.5907</v>
      </c>
      <c r="J8">
        <v>41021.79</v>
      </c>
      <c r="K8">
        <v>2515114.397</v>
      </c>
      <c r="L8" t="s">
        <v>103</v>
      </c>
      <c r="M8" t="s">
        <v>104</v>
      </c>
      <c r="N8" s="3">
        <v>45897</v>
      </c>
      <c r="O8">
        <v>7</v>
      </c>
      <c r="P8">
        <v>66</v>
      </c>
      <c r="Q8">
        <v>-59</v>
      </c>
      <c r="R8" t="s">
        <v>105</v>
      </c>
    </row>
    <row r="9" spans="1:19">
      <c r="A9" t="s">
        <v>58</v>
      </c>
      <c r="B9" s="3">
        <v>45817</v>
      </c>
      <c r="C9">
        <v>608</v>
      </c>
      <c r="D9">
        <v>615.83</v>
      </c>
      <c r="E9">
        <v>598.01</v>
      </c>
      <c r="F9">
        <v>613.28</v>
      </c>
      <c r="G9">
        <v>610</v>
      </c>
      <c r="H9">
        <v>3.28</v>
      </c>
      <c r="I9">
        <v>0.5377</v>
      </c>
      <c r="J9">
        <v>40475.32</v>
      </c>
      <c r="K9">
        <v>2461805.721</v>
      </c>
      <c r="L9" t="s">
        <v>103</v>
      </c>
      <c r="M9" t="s">
        <v>104</v>
      </c>
      <c r="N9" s="3">
        <v>45897</v>
      </c>
      <c r="O9">
        <v>8</v>
      </c>
      <c r="P9">
        <v>66</v>
      </c>
      <c r="Q9">
        <v>-58</v>
      </c>
      <c r="R9" t="s">
        <v>105</v>
      </c>
    </row>
    <row r="10" spans="1:19">
      <c r="A10" t="s">
        <v>58</v>
      </c>
      <c r="B10" s="3">
        <v>45818</v>
      </c>
      <c r="C10">
        <v>613.28</v>
      </c>
      <c r="D10">
        <v>616.68</v>
      </c>
      <c r="E10">
        <v>597.5</v>
      </c>
      <c r="F10">
        <v>601.89</v>
      </c>
      <c r="G10">
        <v>613.28</v>
      </c>
      <c r="H10">
        <v>-11.39</v>
      </c>
      <c r="I10">
        <v>-1.8572</v>
      </c>
      <c r="J10">
        <v>42970.78</v>
      </c>
      <c r="K10">
        <v>2608659.981</v>
      </c>
      <c r="L10" t="s">
        <v>103</v>
      </c>
      <c r="M10" t="s">
        <v>104</v>
      </c>
      <c r="N10" s="3">
        <v>45897</v>
      </c>
      <c r="O10">
        <v>9</v>
      </c>
      <c r="P10">
        <v>66</v>
      </c>
      <c r="Q10">
        <v>-57</v>
      </c>
      <c r="R10" t="s">
        <v>105</v>
      </c>
    </row>
    <row r="11" spans="1:19">
      <c r="A11" t="s">
        <v>58</v>
      </c>
      <c r="B11" s="3">
        <v>45819</v>
      </c>
      <c r="C11">
        <v>602</v>
      </c>
      <c r="D11">
        <v>607.9</v>
      </c>
      <c r="E11">
        <v>597.48</v>
      </c>
      <c r="F11">
        <v>600.2</v>
      </c>
      <c r="G11">
        <v>601.89</v>
      </c>
      <c r="H11">
        <v>-1.69</v>
      </c>
      <c r="I11">
        <v>-0.2808</v>
      </c>
      <c r="J11">
        <v>30918.7</v>
      </c>
      <c r="K11">
        <v>1862825.897</v>
      </c>
      <c r="L11" t="s">
        <v>103</v>
      </c>
      <c r="M11" t="s">
        <v>104</v>
      </c>
      <c r="N11" s="3">
        <v>45897</v>
      </c>
      <c r="O11">
        <v>10</v>
      </c>
      <c r="P11">
        <v>66</v>
      </c>
      <c r="Q11">
        <v>-56</v>
      </c>
      <c r="R11" t="s">
        <v>105</v>
      </c>
    </row>
    <row r="12" spans="1:19">
      <c r="A12" t="s">
        <v>58</v>
      </c>
      <c r="B12" s="3">
        <v>45820</v>
      </c>
      <c r="C12">
        <v>597.58</v>
      </c>
      <c r="D12">
        <v>612.69</v>
      </c>
      <c r="E12">
        <v>590.02</v>
      </c>
      <c r="F12">
        <v>604.8</v>
      </c>
      <c r="G12">
        <v>600.2</v>
      </c>
      <c r="H12">
        <v>4.6</v>
      </c>
      <c r="I12">
        <v>0.7664</v>
      </c>
      <c r="J12">
        <v>38684.1</v>
      </c>
      <c r="K12">
        <v>2337517.107</v>
      </c>
      <c r="L12" t="s">
        <v>103</v>
      </c>
      <c r="M12" t="s">
        <v>104</v>
      </c>
      <c r="N12" s="3">
        <v>45897</v>
      </c>
      <c r="O12">
        <v>11</v>
      </c>
      <c r="P12">
        <v>66</v>
      </c>
      <c r="Q12">
        <v>-55</v>
      </c>
      <c r="R12" t="s">
        <v>105</v>
      </c>
    </row>
    <row r="13" spans="1:19">
      <c r="A13" t="s">
        <v>58</v>
      </c>
      <c r="B13" s="3">
        <v>45821</v>
      </c>
      <c r="C13">
        <v>595.51</v>
      </c>
      <c r="D13">
        <v>607.88</v>
      </c>
      <c r="E13">
        <v>592.66</v>
      </c>
      <c r="F13">
        <v>604.9</v>
      </c>
      <c r="G13">
        <v>604.8</v>
      </c>
      <c r="H13">
        <v>0.1</v>
      </c>
      <c r="I13">
        <v>0.0165</v>
      </c>
      <c r="J13">
        <v>40457.64</v>
      </c>
      <c r="K13">
        <v>2436393.743</v>
      </c>
      <c r="L13" t="s">
        <v>103</v>
      </c>
      <c r="M13" t="s">
        <v>104</v>
      </c>
      <c r="N13" s="3">
        <v>45897</v>
      </c>
      <c r="O13">
        <v>12</v>
      </c>
      <c r="P13">
        <v>66</v>
      </c>
      <c r="Q13">
        <v>-54</v>
      </c>
      <c r="R13" t="s">
        <v>105</v>
      </c>
    </row>
    <row r="14" spans="1:19">
      <c r="A14" t="s">
        <v>58</v>
      </c>
      <c r="B14" s="3">
        <v>45824</v>
      </c>
      <c r="C14">
        <v>598</v>
      </c>
      <c r="D14">
        <v>616</v>
      </c>
      <c r="E14">
        <v>596.85</v>
      </c>
      <c r="F14">
        <v>597.55</v>
      </c>
      <c r="G14">
        <v>604.9</v>
      </c>
      <c r="H14">
        <v>-7.35</v>
      </c>
      <c r="I14">
        <v>-1.2151</v>
      </c>
      <c r="J14">
        <v>45666.39</v>
      </c>
      <c r="K14">
        <v>2756462.869</v>
      </c>
      <c r="L14" t="s">
        <v>103</v>
      </c>
      <c r="M14" t="s">
        <v>104</v>
      </c>
      <c r="N14" s="3">
        <v>45897</v>
      </c>
      <c r="O14">
        <v>13</v>
      </c>
      <c r="P14">
        <v>66</v>
      </c>
      <c r="Q14">
        <v>-53</v>
      </c>
      <c r="R14" t="s">
        <v>105</v>
      </c>
    </row>
    <row r="15" spans="1:19">
      <c r="A15" t="s">
        <v>58</v>
      </c>
      <c r="B15" s="3">
        <v>45825</v>
      </c>
      <c r="C15">
        <v>597</v>
      </c>
      <c r="D15">
        <v>599.59</v>
      </c>
      <c r="E15">
        <v>568.28</v>
      </c>
      <c r="F15">
        <v>573.3</v>
      </c>
      <c r="G15">
        <v>597.55</v>
      </c>
      <c r="H15">
        <v>-24.25</v>
      </c>
      <c r="I15">
        <v>-4.0582</v>
      </c>
      <c r="J15">
        <v>65673.75</v>
      </c>
      <c r="K15">
        <v>3789592.646</v>
      </c>
      <c r="L15" t="s">
        <v>103</v>
      </c>
      <c r="M15" t="s">
        <v>104</v>
      </c>
      <c r="N15" s="3">
        <v>45897</v>
      </c>
      <c r="O15">
        <v>14</v>
      </c>
      <c r="P15">
        <v>66</v>
      </c>
      <c r="Q15">
        <v>-52</v>
      </c>
      <c r="R15" t="s">
        <v>105</v>
      </c>
    </row>
    <row r="16" spans="1:19">
      <c r="A16" t="s">
        <v>58</v>
      </c>
      <c r="B16" s="3">
        <v>45826</v>
      </c>
      <c r="C16">
        <v>575</v>
      </c>
      <c r="D16">
        <v>587.96</v>
      </c>
      <c r="E16">
        <v>572.13</v>
      </c>
      <c r="F16">
        <v>583.91</v>
      </c>
      <c r="G16">
        <v>573.3</v>
      </c>
      <c r="H16">
        <v>10.61</v>
      </c>
      <c r="I16">
        <v>1.8507</v>
      </c>
      <c r="J16">
        <v>40893.6</v>
      </c>
      <c r="K16">
        <v>2376488.06</v>
      </c>
      <c r="L16" t="s">
        <v>103</v>
      </c>
      <c r="M16" t="s">
        <v>104</v>
      </c>
      <c r="N16" s="3">
        <v>45897</v>
      </c>
      <c r="O16">
        <v>15</v>
      </c>
      <c r="P16">
        <v>66</v>
      </c>
      <c r="Q16">
        <v>-51</v>
      </c>
      <c r="R16" t="s">
        <v>105</v>
      </c>
    </row>
    <row r="17" spans="1:18">
      <c r="A17" t="s">
        <v>58</v>
      </c>
      <c r="B17" s="3">
        <v>45827</v>
      </c>
      <c r="C17">
        <v>582</v>
      </c>
      <c r="D17">
        <v>592.9</v>
      </c>
      <c r="E17">
        <v>580.05</v>
      </c>
      <c r="F17">
        <v>582.08</v>
      </c>
      <c r="G17">
        <v>583.91</v>
      </c>
      <c r="H17">
        <v>-1.83</v>
      </c>
      <c r="I17">
        <v>-0.3134</v>
      </c>
      <c r="J17">
        <v>33717.45</v>
      </c>
      <c r="K17">
        <v>1975021.981</v>
      </c>
      <c r="L17" t="s">
        <v>103</v>
      </c>
      <c r="M17" t="s">
        <v>104</v>
      </c>
      <c r="N17" s="3">
        <v>45897</v>
      </c>
      <c r="O17">
        <v>16</v>
      </c>
      <c r="P17">
        <v>66</v>
      </c>
      <c r="Q17">
        <v>-50</v>
      </c>
      <c r="R17" t="s">
        <v>105</v>
      </c>
    </row>
    <row r="18" spans="1:18">
      <c r="A18" t="s">
        <v>58</v>
      </c>
      <c r="B18" s="3">
        <v>45828</v>
      </c>
      <c r="C18">
        <v>581.49</v>
      </c>
      <c r="D18">
        <v>584</v>
      </c>
      <c r="E18">
        <v>567.11</v>
      </c>
      <c r="F18">
        <v>573.97</v>
      </c>
      <c r="G18">
        <v>582.08</v>
      </c>
      <c r="H18">
        <v>-8.11</v>
      </c>
      <c r="I18">
        <v>-1.3933</v>
      </c>
      <c r="J18">
        <v>37192.6</v>
      </c>
      <c r="K18">
        <v>2137606.874</v>
      </c>
      <c r="L18" t="s">
        <v>103</v>
      </c>
      <c r="M18" t="s">
        <v>104</v>
      </c>
      <c r="N18" s="3">
        <v>45897</v>
      </c>
      <c r="O18">
        <v>17</v>
      </c>
      <c r="P18">
        <v>66</v>
      </c>
      <c r="Q18">
        <v>-49</v>
      </c>
      <c r="R18" t="s">
        <v>105</v>
      </c>
    </row>
    <row r="19" spans="1:18">
      <c r="A19" t="s">
        <v>58</v>
      </c>
      <c r="B19" s="3">
        <v>45831</v>
      </c>
      <c r="C19">
        <v>571.61</v>
      </c>
      <c r="D19">
        <v>575.03</v>
      </c>
      <c r="E19">
        <v>560.67</v>
      </c>
      <c r="F19">
        <v>568</v>
      </c>
      <c r="G19">
        <v>573.97</v>
      </c>
      <c r="H19">
        <v>-5.97</v>
      </c>
      <c r="I19">
        <v>-1.0401</v>
      </c>
      <c r="J19">
        <v>45497.45</v>
      </c>
      <c r="K19">
        <v>2578692.432</v>
      </c>
      <c r="L19" t="s">
        <v>103</v>
      </c>
      <c r="M19" t="s">
        <v>104</v>
      </c>
      <c r="N19" s="3">
        <v>45897</v>
      </c>
      <c r="O19">
        <v>18</v>
      </c>
      <c r="P19">
        <v>66</v>
      </c>
      <c r="Q19">
        <v>-48</v>
      </c>
      <c r="R19" t="s">
        <v>105</v>
      </c>
    </row>
    <row r="20" spans="1:18">
      <c r="A20" t="s">
        <v>58</v>
      </c>
      <c r="B20" s="3">
        <v>45832</v>
      </c>
      <c r="C20">
        <v>574.2</v>
      </c>
      <c r="D20">
        <v>616.58</v>
      </c>
      <c r="E20">
        <v>574</v>
      </c>
      <c r="F20">
        <v>607.25</v>
      </c>
      <c r="G20">
        <v>568</v>
      </c>
      <c r="H20">
        <v>39.25</v>
      </c>
      <c r="I20">
        <v>6.9102</v>
      </c>
      <c r="J20">
        <v>88349.66</v>
      </c>
      <c r="K20">
        <v>5313919.552</v>
      </c>
      <c r="L20" t="s">
        <v>103</v>
      </c>
      <c r="M20" t="s">
        <v>104</v>
      </c>
      <c r="N20" s="3">
        <v>45897</v>
      </c>
      <c r="O20">
        <v>19</v>
      </c>
      <c r="P20">
        <v>66</v>
      </c>
      <c r="Q20">
        <v>-47</v>
      </c>
      <c r="R20" t="s">
        <v>105</v>
      </c>
    </row>
    <row r="21" spans="1:18">
      <c r="A21" t="s">
        <v>58</v>
      </c>
      <c r="B21" s="3">
        <v>45833</v>
      </c>
      <c r="C21">
        <v>608.33</v>
      </c>
      <c r="D21">
        <v>618.68</v>
      </c>
      <c r="E21">
        <v>596.51</v>
      </c>
      <c r="F21">
        <v>611.11</v>
      </c>
      <c r="G21">
        <v>607.25</v>
      </c>
      <c r="H21">
        <v>3.86</v>
      </c>
      <c r="I21">
        <v>0.6357</v>
      </c>
      <c r="J21">
        <v>93288.02</v>
      </c>
      <c r="K21">
        <v>5655340.828</v>
      </c>
      <c r="L21" t="s">
        <v>103</v>
      </c>
      <c r="M21" t="s">
        <v>104</v>
      </c>
      <c r="N21" s="3">
        <v>45897</v>
      </c>
      <c r="O21">
        <v>20</v>
      </c>
      <c r="P21">
        <v>66</v>
      </c>
      <c r="Q21">
        <v>-46</v>
      </c>
      <c r="R21" t="s">
        <v>105</v>
      </c>
    </row>
    <row r="22" spans="1:18">
      <c r="A22" t="s">
        <v>58</v>
      </c>
      <c r="B22" s="3">
        <v>45834</v>
      </c>
      <c r="C22">
        <v>611</v>
      </c>
      <c r="D22">
        <v>636.3</v>
      </c>
      <c r="E22">
        <v>607.01</v>
      </c>
      <c r="F22">
        <v>610.5</v>
      </c>
      <c r="G22">
        <v>611.11</v>
      </c>
      <c r="H22">
        <v>-0.61</v>
      </c>
      <c r="I22">
        <v>-0.0998</v>
      </c>
      <c r="J22">
        <v>90138.79</v>
      </c>
      <c r="K22">
        <v>5590356.367</v>
      </c>
      <c r="L22" t="s">
        <v>103</v>
      </c>
      <c r="M22" t="s">
        <v>104</v>
      </c>
      <c r="N22" s="3">
        <v>45897</v>
      </c>
      <c r="O22">
        <v>21</v>
      </c>
      <c r="P22">
        <v>66</v>
      </c>
      <c r="Q22">
        <v>-45</v>
      </c>
      <c r="R22" t="s">
        <v>105</v>
      </c>
    </row>
    <row r="23" spans="1:18">
      <c r="A23" t="s">
        <v>58</v>
      </c>
      <c r="B23" s="3">
        <v>45835</v>
      </c>
      <c r="C23">
        <v>608</v>
      </c>
      <c r="D23">
        <v>608.68</v>
      </c>
      <c r="E23">
        <v>582.78</v>
      </c>
      <c r="F23">
        <v>585.5</v>
      </c>
      <c r="G23">
        <v>610.5</v>
      </c>
      <c r="H23">
        <v>-25</v>
      </c>
      <c r="I23">
        <v>-4.095</v>
      </c>
      <c r="J23">
        <v>81328.58</v>
      </c>
      <c r="K23">
        <v>4807503.075</v>
      </c>
      <c r="L23" t="s">
        <v>103</v>
      </c>
      <c r="M23" t="s">
        <v>104</v>
      </c>
      <c r="N23" s="3">
        <v>45897</v>
      </c>
      <c r="O23">
        <v>22</v>
      </c>
      <c r="P23">
        <v>66</v>
      </c>
      <c r="Q23">
        <v>-44</v>
      </c>
      <c r="R23" t="s">
        <v>105</v>
      </c>
    </row>
    <row r="24" spans="1:18">
      <c r="A24" t="s">
        <v>58</v>
      </c>
      <c r="B24" s="3">
        <v>45838</v>
      </c>
      <c r="C24">
        <v>585.57</v>
      </c>
      <c r="D24">
        <v>612.94</v>
      </c>
      <c r="E24">
        <v>585.57</v>
      </c>
      <c r="F24">
        <v>601.5</v>
      </c>
      <c r="G24">
        <v>585.5</v>
      </c>
      <c r="H24">
        <v>16</v>
      </c>
      <c r="I24">
        <v>2.7327</v>
      </c>
      <c r="J24">
        <v>72494.24</v>
      </c>
      <c r="K24">
        <v>4363268.287</v>
      </c>
      <c r="L24" t="s">
        <v>103</v>
      </c>
      <c r="M24" t="s">
        <v>104</v>
      </c>
      <c r="N24" s="3">
        <v>45897</v>
      </c>
      <c r="O24">
        <v>23</v>
      </c>
      <c r="P24">
        <v>66</v>
      </c>
      <c r="Q24">
        <v>-43</v>
      </c>
      <c r="R24" t="s">
        <v>105</v>
      </c>
    </row>
    <row r="25" spans="1:18">
      <c r="A25" t="s">
        <v>58</v>
      </c>
      <c r="B25" s="3">
        <v>45839</v>
      </c>
      <c r="C25">
        <v>598.88</v>
      </c>
      <c r="D25">
        <v>598.88</v>
      </c>
      <c r="E25">
        <v>560.66</v>
      </c>
      <c r="F25">
        <v>563</v>
      </c>
      <c r="G25">
        <v>601.5</v>
      </c>
      <c r="H25">
        <v>-38.5</v>
      </c>
      <c r="I25">
        <v>-6.4007</v>
      </c>
      <c r="J25">
        <v>104237.9</v>
      </c>
      <c r="K25">
        <v>5924880.801</v>
      </c>
      <c r="L25" t="s">
        <v>103</v>
      </c>
      <c r="M25" t="s">
        <v>104</v>
      </c>
      <c r="N25" s="3">
        <v>45897</v>
      </c>
      <c r="O25">
        <v>24</v>
      </c>
      <c r="P25">
        <v>66</v>
      </c>
      <c r="Q25">
        <v>-42</v>
      </c>
      <c r="R25" t="s">
        <v>105</v>
      </c>
    </row>
    <row r="26" spans="1:18">
      <c r="A26" t="s">
        <v>58</v>
      </c>
      <c r="B26" s="3">
        <v>45840</v>
      </c>
      <c r="C26">
        <v>560.22</v>
      </c>
      <c r="D26">
        <v>560.22</v>
      </c>
      <c r="E26">
        <v>541.91</v>
      </c>
      <c r="F26">
        <v>545.1</v>
      </c>
      <c r="G26">
        <v>563</v>
      </c>
      <c r="H26">
        <v>-17.9</v>
      </c>
      <c r="I26">
        <v>-3.1794</v>
      </c>
      <c r="J26">
        <v>64098.04</v>
      </c>
      <c r="K26">
        <v>3509933.369</v>
      </c>
      <c r="L26" t="s">
        <v>103</v>
      </c>
      <c r="M26" t="s">
        <v>104</v>
      </c>
      <c r="N26" s="3">
        <v>45897</v>
      </c>
      <c r="O26">
        <v>25</v>
      </c>
      <c r="P26">
        <v>66</v>
      </c>
      <c r="Q26">
        <v>-41</v>
      </c>
      <c r="R26" t="s">
        <v>105</v>
      </c>
    </row>
    <row r="27" spans="1:18">
      <c r="A27" t="s">
        <v>58</v>
      </c>
      <c r="B27" s="3">
        <v>45841</v>
      </c>
      <c r="C27">
        <v>546</v>
      </c>
      <c r="D27">
        <v>553.6</v>
      </c>
      <c r="E27">
        <v>544</v>
      </c>
      <c r="F27">
        <v>547.3</v>
      </c>
      <c r="G27">
        <v>545.1</v>
      </c>
      <c r="H27">
        <v>2.2</v>
      </c>
      <c r="I27">
        <v>0.4036</v>
      </c>
      <c r="J27">
        <v>39722.89</v>
      </c>
      <c r="K27">
        <v>2173734.826</v>
      </c>
      <c r="L27" t="s">
        <v>103</v>
      </c>
      <c r="M27" t="s">
        <v>104</v>
      </c>
      <c r="N27" s="3">
        <v>45897</v>
      </c>
      <c r="O27">
        <v>26</v>
      </c>
      <c r="P27">
        <v>66</v>
      </c>
      <c r="Q27">
        <v>-40</v>
      </c>
      <c r="R27" t="s">
        <v>105</v>
      </c>
    </row>
    <row r="28" spans="1:18">
      <c r="A28" t="s">
        <v>58</v>
      </c>
      <c r="B28" s="3">
        <v>45842</v>
      </c>
      <c r="C28">
        <v>545</v>
      </c>
      <c r="D28">
        <v>557.97</v>
      </c>
      <c r="E28">
        <v>538.67</v>
      </c>
      <c r="F28">
        <v>547.47</v>
      </c>
      <c r="G28">
        <v>547.3</v>
      </c>
      <c r="H28">
        <v>0.17</v>
      </c>
      <c r="I28">
        <v>0.0311</v>
      </c>
      <c r="J28">
        <v>56859.33</v>
      </c>
      <c r="K28">
        <v>3111587.176</v>
      </c>
      <c r="L28" t="s">
        <v>103</v>
      </c>
      <c r="M28" t="s">
        <v>104</v>
      </c>
      <c r="N28" s="3">
        <v>45897</v>
      </c>
      <c r="O28">
        <v>27</v>
      </c>
      <c r="P28">
        <v>66</v>
      </c>
      <c r="Q28">
        <v>-39</v>
      </c>
      <c r="R28" t="s">
        <v>105</v>
      </c>
    </row>
    <row r="29" spans="1:18">
      <c r="A29" t="s">
        <v>58</v>
      </c>
      <c r="B29" s="3">
        <v>45845</v>
      </c>
      <c r="C29">
        <v>544</v>
      </c>
      <c r="D29">
        <v>553.86</v>
      </c>
      <c r="E29">
        <v>541.01</v>
      </c>
      <c r="F29">
        <v>541.38</v>
      </c>
      <c r="G29">
        <v>547.47</v>
      </c>
      <c r="H29">
        <v>-6.09</v>
      </c>
      <c r="I29">
        <v>-1.1124</v>
      </c>
      <c r="J29">
        <v>33310.55</v>
      </c>
      <c r="K29">
        <v>1810291.915</v>
      </c>
      <c r="L29" t="s">
        <v>103</v>
      </c>
      <c r="M29" t="s">
        <v>104</v>
      </c>
      <c r="N29" s="3">
        <v>45897</v>
      </c>
      <c r="O29">
        <v>28</v>
      </c>
      <c r="P29">
        <v>66</v>
      </c>
      <c r="Q29">
        <v>-38</v>
      </c>
      <c r="R29" t="s">
        <v>105</v>
      </c>
    </row>
    <row r="30" spans="1:18">
      <c r="A30" t="s">
        <v>58</v>
      </c>
      <c r="B30" s="3">
        <v>45846</v>
      </c>
      <c r="C30">
        <v>540</v>
      </c>
      <c r="D30">
        <v>545.3</v>
      </c>
      <c r="E30">
        <v>538.1</v>
      </c>
      <c r="F30">
        <v>542.77</v>
      </c>
      <c r="G30">
        <v>541.38</v>
      </c>
      <c r="H30">
        <v>1.39</v>
      </c>
      <c r="I30">
        <v>0.2568</v>
      </c>
      <c r="J30">
        <v>39527.81</v>
      </c>
      <c r="K30">
        <v>2143484.029</v>
      </c>
      <c r="L30" t="s">
        <v>103</v>
      </c>
      <c r="M30" t="s">
        <v>104</v>
      </c>
      <c r="N30" s="3">
        <v>45897</v>
      </c>
      <c r="O30">
        <v>29</v>
      </c>
      <c r="P30">
        <v>66</v>
      </c>
      <c r="Q30">
        <v>-37</v>
      </c>
      <c r="R30" t="s">
        <v>105</v>
      </c>
    </row>
    <row r="31" spans="1:18">
      <c r="A31" t="s">
        <v>58</v>
      </c>
      <c r="B31" s="3">
        <v>45847</v>
      </c>
      <c r="C31">
        <v>544</v>
      </c>
      <c r="D31">
        <v>544.78</v>
      </c>
      <c r="E31">
        <v>533.5</v>
      </c>
      <c r="F31">
        <v>535</v>
      </c>
      <c r="G31">
        <v>542.77</v>
      </c>
      <c r="H31">
        <v>-7.77</v>
      </c>
      <c r="I31">
        <v>-1.4315</v>
      </c>
      <c r="J31">
        <v>49069.59</v>
      </c>
      <c r="K31">
        <v>2643083.782</v>
      </c>
      <c r="L31" t="s">
        <v>103</v>
      </c>
      <c r="M31" t="s">
        <v>104</v>
      </c>
      <c r="N31" s="3">
        <v>45897</v>
      </c>
      <c r="O31">
        <v>30</v>
      </c>
      <c r="P31">
        <v>66</v>
      </c>
      <c r="Q31">
        <v>-36</v>
      </c>
      <c r="R31" t="s">
        <v>105</v>
      </c>
    </row>
    <row r="32" spans="1:18">
      <c r="A32" t="s">
        <v>58</v>
      </c>
      <c r="B32" s="3">
        <v>45848</v>
      </c>
      <c r="C32">
        <v>534.01</v>
      </c>
      <c r="D32">
        <v>537.87</v>
      </c>
      <c r="E32">
        <v>520.67</v>
      </c>
      <c r="F32">
        <v>523.5</v>
      </c>
      <c r="G32">
        <v>535</v>
      </c>
      <c r="H32">
        <v>-11.5</v>
      </c>
      <c r="I32">
        <v>-2.1495</v>
      </c>
      <c r="J32">
        <v>85815.16</v>
      </c>
      <c r="K32">
        <v>4522151.657</v>
      </c>
      <c r="L32" t="s">
        <v>103</v>
      </c>
      <c r="M32" t="s">
        <v>104</v>
      </c>
      <c r="N32" s="3">
        <v>45897</v>
      </c>
      <c r="O32">
        <v>31</v>
      </c>
      <c r="P32">
        <v>66</v>
      </c>
      <c r="Q32">
        <v>-35</v>
      </c>
      <c r="R32" t="s">
        <v>105</v>
      </c>
    </row>
    <row r="33" spans="1:18">
      <c r="A33" t="s">
        <v>58</v>
      </c>
      <c r="B33" s="3">
        <v>45849</v>
      </c>
      <c r="C33">
        <v>523</v>
      </c>
      <c r="D33">
        <v>559.96</v>
      </c>
      <c r="E33">
        <v>523</v>
      </c>
      <c r="F33">
        <v>553.98</v>
      </c>
      <c r="G33">
        <v>523.5</v>
      </c>
      <c r="H33">
        <v>30.48</v>
      </c>
      <c r="I33">
        <v>5.8223</v>
      </c>
      <c r="J33">
        <v>116436.72</v>
      </c>
      <c r="K33">
        <v>6359225.561</v>
      </c>
      <c r="L33" t="s">
        <v>103</v>
      </c>
      <c r="M33" t="s">
        <v>104</v>
      </c>
      <c r="N33" s="3">
        <v>45897</v>
      </c>
      <c r="O33">
        <v>32</v>
      </c>
      <c r="P33">
        <v>66</v>
      </c>
      <c r="Q33">
        <v>-34</v>
      </c>
      <c r="R33" t="s">
        <v>105</v>
      </c>
    </row>
    <row r="34" spans="1:18">
      <c r="A34" t="s">
        <v>58</v>
      </c>
      <c r="B34" s="3">
        <v>45852</v>
      </c>
      <c r="C34">
        <v>555</v>
      </c>
      <c r="D34">
        <v>570</v>
      </c>
      <c r="E34">
        <v>554</v>
      </c>
      <c r="F34">
        <v>565.06</v>
      </c>
      <c r="G34">
        <v>553.98</v>
      </c>
      <c r="H34">
        <v>11.08</v>
      </c>
      <c r="I34">
        <v>2.0001</v>
      </c>
      <c r="J34">
        <v>65114.93</v>
      </c>
      <c r="K34">
        <v>3678055.659</v>
      </c>
      <c r="L34" t="s">
        <v>103</v>
      </c>
      <c r="M34" t="s">
        <v>104</v>
      </c>
      <c r="N34" s="3">
        <v>45897</v>
      </c>
      <c r="O34">
        <v>33</v>
      </c>
      <c r="P34">
        <v>66</v>
      </c>
      <c r="Q34">
        <v>-33</v>
      </c>
      <c r="R34" t="s">
        <v>105</v>
      </c>
    </row>
    <row r="35" spans="1:18">
      <c r="A35" t="s">
        <v>58</v>
      </c>
      <c r="B35" s="3">
        <v>45853</v>
      </c>
      <c r="C35">
        <v>564</v>
      </c>
      <c r="D35">
        <v>564</v>
      </c>
      <c r="E35">
        <v>546.76</v>
      </c>
      <c r="F35">
        <v>553.1</v>
      </c>
      <c r="G35">
        <v>565.06</v>
      </c>
      <c r="H35">
        <v>-11.96</v>
      </c>
      <c r="I35">
        <v>-2.1166</v>
      </c>
      <c r="J35">
        <v>59685.89</v>
      </c>
      <c r="K35">
        <v>3309396.823</v>
      </c>
      <c r="L35" t="s">
        <v>103</v>
      </c>
      <c r="M35" t="s">
        <v>104</v>
      </c>
      <c r="N35" s="3">
        <v>45897</v>
      </c>
      <c r="O35">
        <v>34</v>
      </c>
      <c r="P35">
        <v>66</v>
      </c>
      <c r="Q35">
        <v>-32</v>
      </c>
      <c r="R35" t="s">
        <v>105</v>
      </c>
    </row>
    <row r="36" spans="1:18">
      <c r="A36" t="s">
        <v>58</v>
      </c>
      <c r="B36" s="3">
        <v>45854</v>
      </c>
      <c r="C36">
        <v>548.09</v>
      </c>
      <c r="D36">
        <v>593.1</v>
      </c>
      <c r="E36">
        <v>548.09</v>
      </c>
      <c r="F36">
        <v>580.19</v>
      </c>
      <c r="G36">
        <v>553.1</v>
      </c>
      <c r="H36">
        <v>27.09</v>
      </c>
      <c r="I36">
        <v>4.8978</v>
      </c>
      <c r="J36">
        <v>97122.72</v>
      </c>
      <c r="K36">
        <v>5629778.216</v>
      </c>
      <c r="L36" t="s">
        <v>103</v>
      </c>
      <c r="M36" t="s">
        <v>104</v>
      </c>
      <c r="N36" s="3">
        <v>45897</v>
      </c>
      <c r="O36">
        <v>35</v>
      </c>
      <c r="P36">
        <v>66</v>
      </c>
      <c r="Q36">
        <v>-31</v>
      </c>
      <c r="R36" t="s">
        <v>105</v>
      </c>
    </row>
    <row r="37" spans="1:18">
      <c r="A37" t="s">
        <v>58</v>
      </c>
      <c r="B37" s="3">
        <v>45855</v>
      </c>
      <c r="C37">
        <v>575</v>
      </c>
      <c r="D37">
        <v>584.99</v>
      </c>
      <c r="E37">
        <v>559.23</v>
      </c>
      <c r="F37">
        <v>582.4</v>
      </c>
      <c r="G37">
        <v>580.19</v>
      </c>
      <c r="H37">
        <v>2.21</v>
      </c>
      <c r="I37">
        <v>0.3809</v>
      </c>
      <c r="J37">
        <v>79737.17</v>
      </c>
      <c r="K37">
        <v>4557378.595</v>
      </c>
      <c r="L37" t="s">
        <v>103</v>
      </c>
      <c r="M37" t="s">
        <v>104</v>
      </c>
      <c r="N37" s="3">
        <v>45897</v>
      </c>
      <c r="O37">
        <v>36</v>
      </c>
      <c r="P37">
        <v>66</v>
      </c>
      <c r="Q37">
        <v>-30</v>
      </c>
      <c r="R37" t="s">
        <v>105</v>
      </c>
    </row>
    <row r="38" spans="1:18">
      <c r="A38" t="s">
        <v>58</v>
      </c>
      <c r="B38" s="3">
        <v>45856</v>
      </c>
      <c r="C38">
        <v>580.55</v>
      </c>
      <c r="D38">
        <v>589.98</v>
      </c>
      <c r="E38">
        <v>578.03</v>
      </c>
      <c r="F38">
        <v>582.62</v>
      </c>
      <c r="G38">
        <v>582.4</v>
      </c>
      <c r="H38">
        <v>0.22</v>
      </c>
      <c r="I38">
        <v>0.0378</v>
      </c>
      <c r="J38">
        <v>51156.45</v>
      </c>
      <c r="K38">
        <v>2984533.701</v>
      </c>
      <c r="L38" t="s">
        <v>103</v>
      </c>
      <c r="M38" t="s">
        <v>104</v>
      </c>
      <c r="N38" s="3">
        <v>45897</v>
      </c>
      <c r="O38">
        <v>37</v>
      </c>
      <c r="P38">
        <v>66</v>
      </c>
      <c r="Q38">
        <v>-29</v>
      </c>
      <c r="R38" t="s">
        <v>105</v>
      </c>
    </row>
    <row r="39" spans="1:18">
      <c r="A39" t="s">
        <v>58</v>
      </c>
      <c r="B39" s="3">
        <v>45859</v>
      </c>
      <c r="C39">
        <v>587</v>
      </c>
      <c r="D39">
        <v>599.57</v>
      </c>
      <c r="E39">
        <v>580.08</v>
      </c>
      <c r="F39">
        <v>582</v>
      </c>
      <c r="G39">
        <v>582.62</v>
      </c>
      <c r="H39">
        <v>-0.62</v>
      </c>
      <c r="I39">
        <v>-0.1064</v>
      </c>
      <c r="J39">
        <v>59576.41</v>
      </c>
      <c r="K39">
        <v>3509550.816</v>
      </c>
      <c r="L39" t="s">
        <v>103</v>
      </c>
      <c r="M39" t="s">
        <v>104</v>
      </c>
      <c r="N39" s="3">
        <v>45897</v>
      </c>
      <c r="O39">
        <v>38</v>
      </c>
      <c r="P39">
        <v>66</v>
      </c>
      <c r="Q39">
        <v>-28</v>
      </c>
      <c r="R39" t="s">
        <v>105</v>
      </c>
    </row>
    <row r="40" spans="1:18">
      <c r="A40" t="s">
        <v>58</v>
      </c>
      <c r="B40" s="3">
        <v>45860</v>
      </c>
      <c r="C40">
        <v>581.9</v>
      </c>
      <c r="D40">
        <v>601.09</v>
      </c>
      <c r="E40">
        <v>580.1</v>
      </c>
      <c r="F40">
        <v>593.93</v>
      </c>
      <c r="G40">
        <v>582</v>
      </c>
      <c r="H40">
        <v>11.93</v>
      </c>
      <c r="I40">
        <v>2.0498</v>
      </c>
      <c r="J40">
        <v>65632.2</v>
      </c>
      <c r="K40">
        <v>3894927.712</v>
      </c>
      <c r="L40" t="s">
        <v>103</v>
      </c>
      <c r="M40" t="s">
        <v>104</v>
      </c>
      <c r="N40" s="3">
        <v>45897</v>
      </c>
      <c r="O40">
        <v>39</v>
      </c>
      <c r="P40">
        <v>66</v>
      </c>
      <c r="Q40">
        <v>-27</v>
      </c>
      <c r="R40" t="s">
        <v>105</v>
      </c>
    </row>
    <row r="41" spans="1:18">
      <c r="A41" t="s">
        <v>58</v>
      </c>
      <c r="B41" s="3">
        <v>45861</v>
      </c>
      <c r="C41">
        <v>593.2</v>
      </c>
      <c r="D41">
        <v>603</v>
      </c>
      <c r="E41">
        <v>586.53</v>
      </c>
      <c r="F41">
        <v>595.56</v>
      </c>
      <c r="G41">
        <v>593.93</v>
      </c>
      <c r="H41">
        <v>1.63</v>
      </c>
      <c r="I41">
        <v>0.2744</v>
      </c>
      <c r="J41">
        <v>54486.53</v>
      </c>
      <c r="K41">
        <v>3236985.175</v>
      </c>
      <c r="L41" t="s">
        <v>103</v>
      </c>
      <c r="M41" t="s">
        <v>104</v>
      </c>
      <c r="N41" s="3">
        <v>45897</v>
      </c>
      <c r="O41">
        <v>40</v>
      </c>
      <c r="P41">
        <v>66</v>
      </c>
      <c r="Q41">
        <v>-26</v>
      </c>
      <c r="R41" t="s">
        <v>105</v>
      </c>
    </row>
    <row r="42" spans="1:18">
      <c r="A42" t="s">
        <v>58</v>
      </c>
      <c r="B42" s="3">
        <v>45862</v>
      </c>
      <c r="C42">
        <v>591.5</v>
      </c>
      <c r="D42">
        <v>604.95</v>
      </c>
      <c r="E42">
        <v>591.5</v>
      </c>
      <c r="F42">
        <v>600.23</v>
      </c>
      <c r="G42">
        <v>595.56</v>
      </c>
      <c r="H42">
        <v>4.67</v>
      </c>
      <c r="I42">
        <v>0.7841</v>
      </c>
      <c r="J42">
        <v>49166.21</v>
      </c>
      <c r="K42">
        <v>2941834.944</v>
      </c>
      <c r="L42" t="s">
        <v>103</v>
      </c>
      <c r="M42" t="s">
        <v>104</v>
      </c>
      <c r="N42" s="3">
        <v>45897</v>
      </c>
      <c r="O42">
        <v>41</v>
      </c>
      <c r="P42">
        <v>66</v>
      </c>
      <c r="Q42">
        <v>-25</v>
      </c>
      <c r="R42" t="s">
        <v>105</v>
      </c>
    </row>
    <row r="43" spans="1:18">
      <c r="A43" t="s">
        <v>58</v>
      </c>
      <c r="B43" s="3">
        <v>45863</v>
      </c>
      <c r="C43">
        <v>599.53</v>
      </c>
      <c r="D43">
        <v>698.01</v>
      </c>
      <c r="E43">
        <v>599.53</v>
      </c>
      <c r="F43">
        <v>673.3</v>
      </c>
      <c r="G43">
        <v>600.23</v>
      </c>
      <c r="H43">
        <v>73.07</v>
      </c>
      <c r="I43">
        <v>12.1737</v>
      </c>
      <c r="J43">
        <v>127392.73</v>
      </c>
      <c r="K43">
        <v>8133258.858</v>
      </c>
      <c r="L43" t="s">
        <v>103</v>
      </c>
      <c r="M43" t="s">
        <v>104</v>
      </c>
      <c r="N43" s="3">
        <v>45897</v>
      </c>
      <c r="O43">
        <v>42</v>
      </c>
      <c r="P43">
        <v>66</v>
      </c>
      <c r="Q43">
        <v>-24</v>
      </c>
      <c r="R43" t="s">
        <v>105</v>
      </c>
    </row>
    <row r="44" spans="1:18">
      <c r="A44" t="s">
        <v>58</v>
      </c>
      <c r="B44" s="3">
        <v>45866</v>
      </c>
      <c r="C44">
        <v>673</v>
      </c>
      <c r="D44">
        <v>688.7</v>
      </c>
      <c r="E44">
        <v>654.02</v>
      </c>
      <c r="F44">
        <v>679</v>
      </c>
      <c r="G44">
        <v>673.3</v>
      </c>
      <c r="H44">
        <v>5.7</v>
      </c>
      <c r="I44">
        <v>0.8466</v>
      </c>
      <c r="J44">
        <v>95079.83</v>
      </c>
      <c r="K44">
        <v>6379660.931</v>
      </c>
      <c r="L44" t="s">
        <v>103</v>
      </c>
      <c r="M44" t="s">
        <v>104</v>
      </c>
      <c r="N44" s="3">
        <v>45897</v>
      </c>
      <c r="O44">
        <v>43</v>
      </c>
      <c r="P44">
        <v>66</v>
      </c>
      <c r="Q44">
        <v>-23</v>
      </c>
      <c r="R44" t="s">
        <v>105</v>
      </c>
    </row>
    <row r="45" spans="1:18">
      <c r="A45" t="s">
        <v>58</v>
      </c>
      <c r="B45" s="3">
        <v>45867</v>
      </c>
      <c r="C45">
        <v>676</v>
      </c>
      <c r="D45">
        <v>718</v>
      </c>
      <c r="E45">
        <v>673</v>
      </c>
      <c r="F45">
        <v>710.78</v>
      </c>
      <c r="G45">
        <v>679</v>
      </c>
      <c r="H45">
        <v>31.78</v>
      </c>
      <c r="I45">
        <v>4.6804</v>
      </c>
      <c r="J45">
        <v>114103.81</v>
      </c>
      <c r="K45">
        <v>7988279.23</v>
      </c>
      <c r="L45" t="s">
        <v>103</v>
      </c>
      <c r="M45" t="s">
        <v>104</v>
      </c>
      <c r="N45" s="3">
        <v>45897</v>
      </c>
      <c r="O45">
        <v>44</v>
      </c>
      <c r="P45">
        <v>66</v>
      </c>
      <c r="Q45">
        <v>-22</v>
      </c>
      <c r="R45" t="s">
        <v>105</v>
      </c>
    </row>
    <row r="46" spans="1:18">
      <c r="A46" t="s">
        <v>58</v>
      </c>
      <c r="B46" s="3">
        <v>45868</v>
      </c>
      <c r="C46">
        <v>700</v>
      </c>
      <c r="D46">
        <v>708</v>
      </c>
      <c r="E46">
        <v>680</v>
      </c>
      <c r="F46">
        <v>684.7</v>
      </c>
      <c r="G46">
        <v>710.78</v>
      </c>
      <c r="H46">
        <v>-26.08</v>
      </c>
      <c r="I46">
        <v>-3.6692</v>
      </c>
      <c r="J46">
        <v>76531.96</v>
      </c>
      <c r="K46">
        <v>5304272.237</v>
      </c>
      <c r="L46" t="s">
        <v>103</v>
      </c>
      <c r="M46" t="s">
        <v>104</v>
      </c>
      <c r="N46" s="3">
        <v>45897</v>
      </c>
      <c r="O46">
        <v>45</v>
      </c>
      <c r="P46">
        <v>66</v>
      </c>
      <c r="Q46">
        <v>-21</v>
      </c>
      <c r="R46" t="s">
        <v>105</v>
      </c>
    </row>
    <row r="47" spans="1:18">
      <c r="A47" t="s">
        <v>58</v>
      </c>
      <c r="B47" s="3">
        <v>45869</v>
      </c>
      <c r="C47">
        <v>685</v>
      </c>
      <c r="D47">
        <v>735</v>
      </c>
      <c r="E47">
        <v>680.01</v>
      </c>
      <c r="F47">
        <v>709.5</v>
      </c>
      <c r="G47">
        <v>684.7</v>
      </c>
      <c r="H47">
        <v>24.8</v>
      </c>
      <c r="I47">
        <v>3.622</v>
      </c>
      <c r="J47">
        <v>117690.78</v>
      </c>
      <c r="K47">
        <v>8333907.585</v>
      </c>
      <c r="L47" t="s">
        <v>103</v>
      </c>
      <c r="M47" t="s">
        <v>104</v>
      </c>
      <c r="N47" s="3">
        <v>45897</v>
      </c>
      <c r="O47">
        <v>46</v>
      </c>
      <c r="P47">
        <v>66</v>
      </c>
      <c r="Q47">
        <v>-20</v>
      </c>
      <c r="R47" t="s">
        <v>105</v>
      </c>
    </row>
    <row r="48" spans="1:18">
      <c r="A48" t="s">
        <v>58</v>
      </c>
      <c r="B48" s="3">
        <v>45870</v>
      </c>
      <c r="C48">
        <v>700</v>
      </c>
      <c r="D48">
        <v>716</v>
      </c>
      <c r="E48">
        <v>680</v>
      </c>
      <c r="F48">
        <v>689.1</v>
      </c>
      <c r="G48">
        <v>709.5</v>
      </c>
      <c r="H48">
        <v>-20.4</v>
      </c>
      <c r="I48">
        <v>-2.8753</v>
      </c>
      <c r="J48">
        <v>71835.98</v>
      </c>
      <c r="K48">
        <v>4998268.095</v>
      </c>
      <c r="L48" t="s">
        <v>103</v>
      </c>
      <c r="M48" t="s">
        <v>104</v>
      </c>
      <c r="N48" s="3">
        <v>45897</v>
      </c>
      <c r="O48">
        <v>47</v>
      </c>
      <c r="P48">
        <v>66</v>
      </c>
      <c r="Q48">
        <v>-19</v>
      </c>
      <c r="R48" t="s">
        <v>105</v>
      </c>
    </row>
    <row r="49" spans="1:18">
      <c r="A49" t="s">
        <v>58</v>
      </c>
      <c r="B49" s="3">
        <v>45873</v>
      </c>
      <c r="C49">
        <v>687.58</v>
      </c>
      <c r="D49">
        <v>699.95</v>
      </c>
      <c r="E49">
        <v>675.17</v>
      </c>
      <c r="F49">
        <v>689.06</v>
      </c>
      <c r="G49">
        <v>689.1</v>
      </c>
      <c r="H49">
        <v>-0.04</v>
      </c>
      <c r="I49">
        <v>-0.0058</v>
      </c>
      <c r="J49">
        <v>57761.09</v>
      </c>
      <c r="K49">
        <v>3987683.051</v>
      </c>
      <c r="L49" t="s">
        <v>103</v>
      </c>
      <c r="M49" t="s">
        <v>104</v>
      </c>
      <c r="N49" s="3">
        <v>45897</v>
      </c>
      <c r="O49">
        <v>48</v>
      </c>
      <c r="P49">
        <v>66</v>
      </c>
      <c r="Q49">
        <v>-18</v>
      </c>
      <c r="R49" t="s">
        <v>105</v>
      </c>
    </row>
    <row r="50" spans="1:18">
      <c r="A50" t="s">
        <v>58</v>
      </c>
      <c r="B50" s="3">
        <v>45874</v>
      </c>
      <c r="C50">
        <v>686</v>
      </c>
      <c r="D50">
        <v>699.9</v>
      </c>
      <c r="E50">
        <v>682.58</v>
      </c>
      <c r="F50">
        <v>695</v>
      </c>
      <c r="G50">
        <v>689.06</v>
      </c>
      <c r="H50">
        <v>5.94</v>
      </c>
      <c r="I50">
        <v>0.862</v>
      </c>
      <c r="J50">
        <v>48788.23</v>
      </c>
      <c r="K50">
        <v>3379825.557</v>
      </c>
      <c r="L50" t="s">
        <v>103</v>
      </c>
      <c r="M50" t="s">
        <v>104</v>
      </c>
      <c r="N50" s="3">
        <v>45897</v>
      </c>
      <c r="O50">
        <v>49</v>
      </c>
      <c r="P50">
        <v>66</v>
      </c>
      <c r="Q50">
        <v>-17</v>
      </c>
      <c r="R50" t="s">
        <v>105</v>
      </c>
    </row>
    <row r="51" spans="1:18">
      <c r="A51" t="s">
        <v>58</v>
      </c>
      <c r="B51" s="3">
        <v>45875</v>
      </c>
      <c r="C51">
        <v>691.86</v>
      </c>
      <c r="D51">
        <v>696.39</v>
      </c>
      <c r="E51">
        <v>685</v>
      </c>
      <c r="F51">
        <v>694.34</v>
      </c>
      <c r="G51">
        <v>695</v>
      </c>
      <c r="H51">
        <v>-0.66</v>
      </c>
      <c r="I51">
        <v>-0.095</v>
      </c>
      <c r="J51">
        <v>43399.78</v>
      </c>
      <c r="K51">
        <v>2997970.928</v>
      </c>
      <c r="L51" t="s">
        <v>103</v>
      </c>
      <c r="M51" t="s">
        <v>104</v>
      </c>
      <c r="N51" s="3">
        <v>45897</v>
      </c>
      <c r="O51">
        <v>50</v>
      </c>
      <c r="P51">
        <v>66</v>
      </c>
      <c r="Q51">
        <v>-16</v>
      </c>
      <c r="R51" t="s">
        <v>105</v>
      </c>
    </row>
    <row r="52" spans="1:18">
      <c r="A52" t="s">
        <v>58</v>
      </c>
      <c r="B52" s="3">
        <v>45876</v>
      </c>
      <c r="C52">
        <v>700.51</v>
      </c>
      <c r="D52">
        <v>731</v>
      </c>
      <c r="E52">
        <v>686.01</v>
      </c>
      <c r="F52">
        <v>703</v>
      </c>
      <c r="G52">
        <v>694.34</v>
      </c>
      <c r="H52">
        <v>8.66</v>
      </c>
      <c r="I52">
        <v>1.2472</v>
      </c>
      <c r="J52">
        <v>108244.28</v>
      </c>
      <c r="K52">
        <v>7687346.63</v>
      </c>
      <c r="L52" t="s">
        <v>103</v>
      </c>
      <c r="M52" t="s">
        <v>104</v>
      </c>
      <c r="N52" s="3">
        <v>45897</v>
      </c>
      <c r="O52">
        <v>51</v>
      </c>
      <c r="P52">
        <v>66</v>
      </c>
      <c r="Q52">
        <v>-15</v>
      </c>
      <c r="R52" t="s">
        <v>105</v>
      </c>
    </row>
    <row r="53" spans="1:18">
      <c r="A53" t="s">
        <v>58</v>
      </c>
      <c r="B53" s="3">
        <v>45877</v>
      </c>
      <c r="C53">
        <v>691</v>
      </c>
      <c r="D53">
        <v>702.93</v>
      </c>
      <c r="E53">
        <v>670</v>
      </c>
      <c r="F53">
        <v>692.8</v>
      </c>
      <c r="G53">
        <v>703</v>
      </c>
      <c r="H53">
        <v>-10.2</v>
      </c>
      <c r="I53">
        <v>-1.4509</v>
      </c>
      <c r="J53">
        <v>65253.31</v>
      </c>
      <c r="K53">
        <v>4496880.601</v>
      </c>
      <c r="L53" t="s">
        <v>103</v>
      </c>
      <c r="M53" t="s">
        <v>104</v>
      </c>
      <c r="N53" s="3">
        <v>45897</v>
      </c>
      <c r="O53">
        <v>52</v>
      </c>
      <c r="P53">
        <v>66</v>
      </c>
      <c r="Q53">
        <v>-14</v>
      </c>
      <c r="R53" t="s">
        <v>105</v>
      </c>
    </row>
    <row r="54" spans="1:18">
      <c r="A54" t="s">
        <v>58</v>
      </c>
      <c r="B54" s="3">
        <v>45880</v>
      </c>
      <c r="C54">
        <v>692.5</v>
      </c>
      <c r="D54">
        <v>711.8</v>
      </c>
      <c r="E54">
        <v>690.61</v>
      </c>
      <c r="F54">
        <v>707.4</v>
      </c>
      <c r="G54">
        <v>692.8</v>
      </c>
      <c r="H54">
        <v>14.6</v>
      </c>
      <c r="I54">
        <v>2.1074</v>
      </c>
      <c r="J54">
        <v>55594.27</v>
      </c>
      <c r="K54">
        <v>3916076.012</v>
      </c>
      <c r="L54" t="s">
        <v>103</v>
      </c>
      <c r="M54" t="s">
        <v>104</v>
      </c>
      <c r="N54" s="3">
        <v>45897</v>
      </c>
      <c r="O54">
        <v>53</v>
      </c>
      <c r="P54">
        <v>66</v>
      </c>
      <c r="Q54">
        <v>-13</v>
      </c>
      <c r="R54" t="s">
        <v>105</v>
      </c>
    </row>
    <row r="55" spans="1:18">
      <c r="A55" t="s">
        <v>58</v>
      </c>
      <c r="B55" s="3">
        <v>45881</v>
      </c>
      <c r="C55">
        <v>702.5</v>
      </c>
      <c r="D55">
        <v>848.88</v>
      </c>
      <c r="E55">
        <v>696.06</v>
      </c>
      <c r="F55">
        <v>848.88</v>
      </c>
      <c r="G55">
        <v>707.4</v>
      </c>
      <c r="H55">
        <v>141.48</v>
      </c>
      <c r="I55">
        <v>20</v>
      </c>
      <c r="J55">
        <v>191621.93</v>
      </c>
      <c r="K55">
        <v>15126074.903</v>
      </c>
      <c r="L55" t="s">
        <v>103</v>
      </c>
      <c r="M55" t="s">
        <v>104</v>
      </c>
      <c r="N55" s="3">
        <v>45897</v>
      </c>
      <c r="O55">
        <v>54</v>
      </c>
      <c r="P55">
        <v>66</v>
      </c>
      <c r="Q55">
        <v>-12</v>
      </c>
      <c r="R55" t="s">
        <v>105</v>
      </c>
    </row>
    <row r="56" spans="1:18">
      <c r="A56" t="s">
        <v>58</v>
      </c>
      <c r="B56" s="3">
        <v>45882</v>
      </c>
      <c r="C56">
        <v>830</v>
      </c>
      <c r="D56">
        <v>868</v>
      </c>
      <c r="E56">
        <v>820</v>
      </c>
      <c r="F56">
        <v>860</v>
      </c>
      <c r="G56">
        <v>848.88</v>
      </c>
      <c r="H56">
        <v>11.12</v>
      </c>
      <c r="I56">
        <v>1.31</v>
      </c>
      <c r="J56">
        <v>134683.86</v>
      </c>
      <c r="K56">
        <v>11355310.256</v>
      </c>
      <c r="L56" t="s">
        <v>103</v>
      </c>
      <c r="M56" t="s">
        <v>104</v>
      </c>
      <c r="N56" s="3">
        <v>45897</v>
      </c>
      <c r="O56">
        <v>55</v>
      </c>
      <c r="P56">
        <v>66</v>
      </c>
      <c r="Q56">
        <v>-11</v>
      </c>
      <c r="R56" t="s">
        <v>105</v>
      </c>
    </row>
    <row r="57" spans="1:18">
      <c r="A57" t="s">
        <v>58</v>
      </c>
      <c r="B57" s="3">
        <v>45883</v>
      </c>
      <c r="C57">
        <v>865</v>
      </c>
      <c r="D57">
        <v>985</v>
      </c>
      <c r="E57">
        <v>865</v>
      </c>
      <c r="F57">
        <v>949</v>
      </c>
      <c r="G57">
        <v>860</v>
      </c>
      <c r="H57">
        <v>89</v>
      </c>
      <c r="I57">
        <v>10.3488</v>
      </c>
      <c r="J57">
        <v>150710.68</v>
      </c>
      <c r="K57">
        <v>14035314.03</v>
      </c>
      <c r="L57" t="s">
        <v>103</v>
      </c>
      <c r="M57" t="s">
        <v>104</v>
      </c>
      <c r="N57" s="3">
        <v>45897</v>
      </c>
      <c r="O57">
        <v>56</v>
      </c>
      <c r="P57">
        <v>66</v>
      </c>
      <c r="Q57">
        <v>-10</v>
      </c>
      <c r="R57" t="s">
        <v>105</v>
      </c>
    </row>
    <row r="58" spans="1:18">
      <c r="A58" t="s">
        <v>58</v>
      </c>
      <c r="B58" s="3">
        <v>45884</v>
      </c>
      <c r="C58">
        <v>923</v>
      </c>
      <c r="D58">
        <v>935</v>
      </c>
      <c r="E58">
        <v>904.81</v>
      </c>
      <c r="F58">
        <v>923.7</v>
      </c>
      <c r="G58">
        <v>949</v>
      </c>
      <c r="H58">
        <v>-25.3</v>
      </c>
      <c r="I58">
        <v>-2.666</v>
      </c>
      <c r="J58">
        <v>110398.69</v>
      </c>
      <c r="K58">
        <v>10171678.36</v>
      </c>
      <c r="L58" t="s">
        <v>103</v>
      </c>
      <c r="M58" t="s">
        <v>104</v>
      </c>
      <c r="N58" s="3">
        <v>45897</v>
      </c>
      <c r="O58">
        <v>57</v>
      </c>
      <c r="P58">
        <v>66</v>
      </c>
      <c r="Q58">
        <v>-9</v>
      </c>
      <c r="R58" t="s">
        <v>105</v>
      </c>
    </row>
    <row r="59" spans="1:18">
      <c r="A59" t="s">
        <v>58</v>
      </c>
      <c r="B59" s="3">
        <v>45887</v>
      </c>
      <c r="C59">
        <v>950.28</v>
      </c>
      <c r="D59">
        <v>987.99</v>
      </c>
      <c r="E59">
        <v>925.46</v>
      </c>
      <c r="F59">
        <v>950</v>
      </c>
      <c r="G59">
        <v>923.7</v>
      </c>
      <c r="H59">
        <v>26.3</v>
      </c>
      <c r="I59">
        <v>2.8472</v>
      </c>
      <c r="J59">
        <v>115423.02</v>
      </c>
      <c r="K59">
        <v>11085893.402</v>
      </c>
      <c r="L59" t="s">
        <v>103</v>
      </c>
      <c r="M59" t="s">
        <v>104</v>
      </c>
      <c r="N59" s="3">
        <v>45897</v>
      </c>
      <c r="O59">
        <v>58</v>
      </c>
      <c r="P59">
        <v>66</v>
      </c>
      <c r="Q59">
        <v>-8</v>
      </c>
      <c r="R59" t="s">
        <v>105</v>
      </c>
    </row>
    <row r="60" spans="1:18">
      <c r="A60" t="s">
        <v>58</v>
      </c>
      <c r="B60" s="3">
        <v>45888</v>
      </c>
      <c r="C60">
        <v>939</v>
      </c>
      <c r="D60">
        <v>1001.1</v>
      </c>
      <c r="E60">
        <v>927.92</v>
      </c>
      <c r="F60">
        <v>933.98</v>
      </c>
      <c r="G60">
        <v>950</v>
      </c>
      <c r="H60">
        <v>-16.02</v>
      </c>
      <c r="I60">
        <v>-1.6863</v>
      </c>
      <c r="J60">
        <v>105469.57</v>
      </c>
      <c r="K60">
        <v>10074664.704</v>
      </c>
      <c r="L60" t="s">
        <v>103</v>
      </c>
      <c r="M60" t="s">
        <v>104</v>
      </c>
      <c r="N60" s="3">
        <v>45897</v>
      </c>
      <c r="O60">
        <v>59</v>
      </c>
      <c r="P60">
        <v>66</v>
      </c>
      <c r="Q60">
        <v>-7</v>
      </c>
      <c r="R60" t="s">
        <v>105</v>
      </c>
    </row>
    <row r="61" spans="1:18">
      <c r="A61" t="s">
        <v>58</v>
      </c>
      <c r="B61" s="3">
        <v>45889</v>
      </c>
      <c r="C61">
        <v>920.11</v>
      </c>
      <c r="D61">
        <v>1027</v>
      </c>
      <c r="E61">
        <v>900</v>
      </c>
      <c r="F61">
        <v>1013</v>
      </c>
      <c r="G61">
        <v>933.98</v>
      </c>
      <c r="H61">
        <v>79.02</v>
      </c>
      <c r="I61">
        <v>8.4606</v>
      </c>
      <c r="J61">
        <v>127059.5</v>
      </c>
      <c r="K61">
        <v>12383503.093</v>
      </c>
      <c r="L61" t="s">
        <v>103</v>
      </c>
      <c r="M61" t="s">
        <v>104</v>
      </c>
      <c r="N61" s="3">
        <v>45897</v>
      </c>
      <c r="O61">
        <v>60</v>
      </c>
      <c r="P61">
        <v>66</v>
      </c>
      <c r="Q61">
        <v>-6</v>
      </c>
      <c r="R61" t="s">
        <v>105</v>
      </c>
    </row>
    <row r="62" spans="1:18">
      <c r="A62" t="s">
        <v>58</v>
      </c>
      <c r="B62" s="3">
        <v>45890</v>
      </c>
      <c r="C62">
        <v>1020</v>
      </c>
      <c r="D62">
        <v>1080.18</v>
      </c>
      <c r="E62">
        <v>1005.57</v>
      </c>
      <c r="F62">
        <v>1036</v>
      </c>
      <c r="G62">
        <v>1013</v>
      </c>
      <c r="H62">
        <v>23</v>
      </c>
      <c r="I62">
        <v>2.2705</v>
      </c>
      <c r="J62">
        <v>114027.97</v>
      </c>
      <c r="K62">
        <v>11930000.15</v>
      </c>
      <c r="L62" t="s">
        <v>103</v>
      </c>
      <c r="M62" t="s">
        <v>104</v>
      </c>
      <c r="N62" s="3">
        <v>45897</v>
      </c>
      <c r="O62">
        <v>61</v>
      </c>
      <c r="P62">
        <v>66</v>
      </c>
      <c r="Q62">
        <v>-5</v>
      </c>
      <c r="R62" t="s">
        <v>105</v>
      </c>
    </row>
    <row r="63" spans="1:18">
      <c r="A63" t="s">
        <v>58</v>
      </c>
      <c r="B63" s="3">
        <v>45891</v>
      </c>
      <c r="C63">
        <v>1075</v>
      </c>
      <c r="D63">
        <v>1243.2</v>
      </c>
      <c r="E63">
        <v>1075</v>
      </c>
      <c r="F63">
        <v>1243.2</v>
      </c>
      <c r="G63">
        <v>1036</v>
      </c>
      <c r="H63">
        <v>207.2</v>
      </c>
      <c r="I63">
        <v>20</v>
      </c>
      <c r="J63">
        <v>141160.82</v>
      </c>
      <c r="K63">
        <v>16488719.338</v>
      </c>
      <c r="L63" t="s">
        <v>103</v>
      </c>
      <c r="M63" t="s">
        <v>104</v>
      </c>
      <c r="N63" s="3">
        <v>45897</v>
      </c>
      <c r="O63">
        <v>62</v>
      </c>
      <c r="P63">
        <v>66</v>
      </c>
      <c r="Q63">
        <v>-4</v>
      </c>
      <c r="R63" t="s">
        <v>105</v>
      </c>
    </row>
    <row r="64" spans="1:18">
      <c r="A64" t="s">
        <v>58</v>
      </c>
      <c r="B64" s="3">
        <v>45894</v>
      </c>
      <c r="C64">
        <v>1321</v>
      </c>
      <c r="D64">
        <v>1391</v>
      </c>
      <c r="E64">
        <v>1266</v>
      </c>
      <c r="F64">
        <v>1384.93</v>
      </c>
      <c r="G64">
        <v>1243.2</v>
      </c>
      <c r="H64">
        <v>141.73</v>
      </c>
      <c r="I64">
        <v>11.4004</v>
      </c>
      <c r="J64">
        <v>187639.05</v>
      </c>
      <c r="K64">
        <v>24989985.4</v>
      </c>
      <c r="L64" t="s">
        <v>103</v>
      </c>
      <c r="M64" t="s">
        <v>104</v>
      </c>
      <c r="N64" s="3">
        <v>45897</v>
      </c>
      <c r="O64">
        <v>63</v>
      </c>
      <c r="P64">
        <v>66</v>
      </c>
      <c r="Q64">
        <v>-3</v>
      </c>
      <c r="R64" t="s">
        <v>105</v>
      </c>
    </row>
    <row r="65" spans="1:19">
      <c r="A65" t="s">
        <v>58</v>
      </c>
      <c r="B65" s="3">
        <v>45895</v>
      </c>
      <c r="C65">
        <v>1310</v>
      </c>
      <c r="D65">
        <v>1348</v>
      </c>
      <c r="E65">
        <v>1289.01</v>
      </c>
      <c r="F65">
        <v>1329</v>
      </c>
      <c r="G65">
        <v>1384.93</v>
      </c>
      <c r="H65">
        <v>-55.93</v>
      </c>
      <c r="I65">
        <v>-4.0385</v>
      </c>
      <c r="J65">
        <v>118132.28</v>
      </c>
      <c r="K65">
        <v>15643165.298</v>
      </c>
      <c r="L65" t="s">
        <v>103</v>
      </c>
      <c r="M65" t="s">
        <v>104</v>
      </c>
      <c r="N65" s="3">
        <v>45897</v>
      </c>
      <c r="O65">
        <v>64</v>
      </c>
      <c r="P65">
        <v>66</v>
      </c>
      <c r="Q65">
        <v>-2</v>
      </c>
      <c r="R65" t="s">
        <v>105</v>
      </c>
    </row>
    <row r="66" spans="1:19">
      <c r="A66" t="s">
        <v>58</v>
      </c>
      <c r="B66" s="3">
        <v>45896</v>
      </c>
      <c r="C66">
        <v>1378.88</v>
      </c>
      <c r="D66">
        <v>1464.98</v>
      </c>
      <c r="E66">
        <v>1341.02</v>
      </c>
      <c r="F66">
        <v>1372.1</v>
      </c>
      <c r="G66">
        <v>1329</v>
      </c>
      <c r="H66">
        <v>43.1</v>
      </c>
      <c r="I66">
        <v>3.243</v>
      </c>
      <c r="J66">
        <v>178950.9</v>
      </c>
      <c r="K66">
        <v>25003097.032</v>
      </c>
      <c r="L66" t="s">
        <v>103</v>
      </c>
      <c r="M66" t="s">
        <v>104</v>
      </c>
      <c r="N66" s="3">
        <v>45897</v>
      </c>
      <c r="O66">
        <v>65</v>
      </c>
      <c r="P66">
        <v>66</v>
      </c>
      <c r="Q66">
        <v>-1</v>
      </c>
      <c r="R66" t="s">
        <v>105</v>
      </c>
    </row>
    <row r="67" spans="1:19">
      <c r="A67" t="s">
        <v>58</v>
      </c>
      <c r="B67" s="3">
        <v>45897</v>
      </c>
      <c r="C67">
        <v>1420</v>
      </c>
      <c r="D67">
        <v>1595.88</v>
      </c>
      <c r="E67">
        <v>1391</v>
      </c>
      <c r="F67">
        <v>1587.91</v>
      </c>
      <c r="G67">
        <v>1372.1</v>
      </c>
      <c r="H67">
        <v>215.81</v>
      </c>
      <c r="I67">
        <v>15.7284</v>
      </c>
      <c r="J67">
        <v>178270.45</v>
      </c>
      <c r="K67">
        <v>26023907.975</v>
      </c>
      <c r="L67" t="s">
        <v>103</v>
      </c>
      <c r="M67" t="s">
        <v>104</v>
      </c>
      <c r="N67" s="3">
        <v>45897</v>
      </c>
      <c r="O67">
        <v>66</v>
      </c>
      <c r="P67">
        <v>66</v>
      </c>
      <c r="Q67">
        <v>0</v>
      </c>
      <c r="R67" t="s">
        <v>106</v>
      </c>
      <c r="S67" t="s">
        <v>159</v>
      </c>
    </row>
    <row r="68" spans="1:19">
      <c r="A68" t="s">
        <v>58</v>
      </c>
      <c r="B68" s="3">
        <v>45898</v>
      </c>
      <c r="C68">
        <v>1480</v>
      </c>
      <c r="D68">
        <v>1534.97</v>
      </c>
      <c r="E68">
        <v>1420</v>
      </c>
      <c r="F68">
        <v>1492.49</v>
      </c>
      <c r="G68">
        <v>1587.91</v>
      </c>
      <c r="H68">
        <v>-95.42</v>
      </c>
      <c r="I68">
        <v>-6.0092</v>
      </c>
      <c r="J68">
        <v>178637.73</v>
      </c>
      <c r="K68">
        <v>26507283.491</v>
      </c>
      <c r="L68" t="s">
        <v>103</v>
      </c>
      <c r="M68" t="s">
        <v>104</v>
      </c>
      <c r="N68" s="3">
        <v>45897</v>
      </c>
      <c r="O68">
        <v>67</v>
      </c>
      <c r="P68">
        <v>66</v>
      </c>
      <c r="Q68">
        <v>1</v>
      </c>
      <c r="R68" t="s">
        <v>107</v>
      </c>
    </row>
    <row r="69" spans="1:19">
      <c r="A69" t="s">
        <v>58</v>
      </c>
      <c r="B69" s="3">
        <v>45901</v>
      </c>
      <c r="C69">
        <v>1460</v>
      </c>
      <c r="D69">
        <v>1508.6</v>
      </c>
      <c r="E69">
        <v>1358.75</v>
      </c>
      <c r="F69">
        <v>1448.39</v>
      </c>
      <c r="G69">
        <v>1492.49</v>
      </c>
      <c r="H69">
        <v>-44.1</v>
      </c>
      <c r="I69">
        <v>-2.9548</v>
      </c>
      <c r="J69">
        <v>175381.16</v>
      </c>
      <c r="K69">
        <v>25070934.112</v>
      </c>
      <c r="L69" t="s">
        <v>103</v>
      </c>
      <c r="M69" t="s">
        <v>104</v>
      </c>
      <c r="N69" s="3">
        <v>45897</v>
      </c>
      <c r="O69">
        <v>68</v>
      </c>
      <c r="P69">
        <v>66</v>
      </c>
      <c r="Q69">
        <v>2</v>
      </c>
      <c r="R69" t="s">
        <v>107</v>
      </c>
    </row>
    <row r="70" spans="1:19">
      <c r="A70" t="s">
        <v>58</v>
      </c>
      <c r="B70" s="3">
        <v>45902</v>
      </c>
      <c r="C70">
        <v>1451</v>
      </c>
      <c r="D70">
        <v>1540</v>
      </c>
      <c r="E70">
        <v>1431</v>
      </c>
      <c r="F70">
        <v>1480</v>
      </c>
      <c r="G70">
        <v>1448.39</v>
      </c>
      <c r="H70">
        <v>31.61</v>
      </c>
      <c r="I70">
        <v>2.1824</v>
      </c>
      <c r="J70">
        <v>173376.45</v>
      </c>
      <c r="K70">
        <v>25731181.437</v>
      </c>
      <c r="L70" t="s">
        <v>103</v>
      </c>
      <c r="M70" t="s">
        <v>104</v>
      </c>
      <c r="N70" s="3">
        <v>45897</v>
      </c>
      <c r="O70">
        <v>69</v>
      </c>
      <c r="P70">
        <v>66</v>
      </c>
      <c r="Q70">
        <v>3</v>
      </c>
      <c r="R70" t="s">
        <v>107</v>
      </c>
    </row>
    <row r="71" spans="1:19">
      <c r="A71" t="s">
        <v>58</v>
      </c>
      <c r="B71" s="3">
        <v>45903</v>
      </c>
      <c r="C71">
        <v>1419</v>
      </c>
      <c r="D71">
        <v>1439</v>
      </c>
      <c r="E71">
        <v>1371</v>
      </c>
      <c r="F71">
        <v>1405</v>
      </c>
      <c r="G71">
        <v>1480</v>
      </c>
      <c r="H71">
        <v>-75</v>
      </c>
      <c r="I71">
        <v>-5.0676</v>
      </c>
      <c r="J71">
        <v>141492.06</v>
      </c>
      <c r="K71">
        <v>19901150.24</v>
      </c>
      <c r="L71" t="s">
        <v>103</v>
      </c>
      <c r="M71" t="s">
        <v>104</v>
      </c>
      <c r="N71" s="3">
        <v>45897</v>
      </c>
      <c r="O71">
        <v>70</v>
      </c>
      <c r="P71">
        <v>66</v>
      </c>
      <c r="Q71">
        <v>4</v>
      </c>
      <c r="R71" t="s">
        <v>107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60</v>
      </c>
    </row>
    <row r="3" spans="1:2">
      <c r="A3" s="5" t="s">
        <v>75</v>
      </c>
      <c r="B3" s="6" t="s">
        <v>61</v>
      </c>
    </row>
    <row r="4" spans="1:2">
      <c r="A4" s="5" t="s">
        <v>2</v>
      </c>
      <c r="B4" s="7">
        <v>45352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45352</v>
      </c>
    </row>
    <row r="9" spans="1:2">
      <c r="A9" s="5" t="s">
        <v>1</v>
      </c>
      <c r="B9">
        <v>24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26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160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60</v>
      </c>
      <c r="B2" s="3">
        <v>45261</v>
      </c>
      <c r="C2">
        <v>53.12</v>
      </c>
      <c r="D2">
        <v>54.52</v>
      </c>
      <c r="E2">
        <v>52.9</v>
      </c>
      <c r="F2">
        <v>53.97</v>
      </c>
      <c r="G2">
        <v>53.4</v>
      </c>
      <c r="H2">
        <v>0.57</v>
      </c>
      <c r="I2">
        <v>1.0674</v>
      </c>
      <c r="J2">
        <v>24939.99</v>
      </c>
      <c r="K2">
        <v>133637.496</v>
      </c>
      <c r="L2" t="s">
        <v>103</v>
      </c>
      <c r="M2" t="s">
        <v>104</v>
      </c>
      <c r="N2" s="3">
        <v>45352</v>
      </c>
      <c r="O2">
        <v>1</v>
      </c>
      <c r="P2">
        <v>59</v>
      </c>
      <c r="Q2">
        <v>-58</v>
      </c>
      <c r="R2" t="s">
        <v>105</v>
      </c>
    </row>
    <row r="3" spans="1:19">
      <c r="A3" t="s">
        <v>60</v>
      </c>
      <c r="B3" s="3">
        <v>45264</v>
      </c>
      <c r="C3">
        <v>54.1</v>
      </c>
      <c r="D3">
        <v>55.35</v>
      </c>
      <c r="E3">
        <v>53.83</v>
      </c>
      <c r="F3">
        <v>54.16</v>
      </c>
      <c r="G3">
        <v>53.97</v>
      </c>
      <c r="H3">
        <v>0.19</v>
      </c>
      <c r="I3">
        <v>0.352</v>
      </c>
      <c r="J3">
        <v>29599.81</v>
      </c>
      <c r="K3">
        <v>161512.504</v>
      </c>
      <c r="L3" t="s">
        <v>103</v>
      </c>
      <c r="M3" t="s">
        <v>104</v>
      </c>
      <c r="N3" s="3">
        <v>45352</v>
      </c>
      <c r="O3">
        <v>2</v>
      </c>
      <c r="P3">
        <v>59</v>
      </c>
      <c r="Q3">
        <v>-57</v>
      </c>
      <c r="R3" t="s">
        <v>105</v>
      </c>
    </row>
    <row r="4" spans="1:19">
      <c r="A4" t="s">
        <v>60</v>
      </c>
      <c r="B4" s="3">
        <v>45265</v>
      </c>
      <c r="C4">
        <v>54</v>
      </c>
      <c r="D4">
        <v>54</v>
      </c>
      <c r="E4">
        <v>51.36</v>
      </c>
      <c r="F4">
        <v>51.42</v>
      </c>
      <c r="G4">
        <v>54.16</v>
      </c>
      <c r="H4">
        <v>-2.74</v>
      </c>
      <c r="I4">
        <v>-5.0591</v>
      </c>
      <c r="J4">
        <v>29922.23</v>
      </c>
      <c r="K4">
        <v>157041.874</v>
      </c>
      <c r="L4" t="s">
        <v>103</v>
      </c>
      <c r="M4" t="s">
        <v>104</v>
      </c>
      <c r="N4" s="3">
        <v>45352</v>
      </c>
      <c r="O4">
        <v>3</v>
      </c>
      <c r="P4">
        <v>59</v>
      </c>
      <c r="Q4">
        <v>-56</v>
      </c>
      <c r="R4" t="s">
        <v>105</v>
      </c>
    </row>
    <row r="5" spans="1:19">
      <c r="A5" t="s">
        <v>60</v>
      </c>
      <c r="B5" s="3">
        <v>45266</v>
      </c>
      <c r="C5">
        <v>51.06</v>
      </c>
      <c r="D5">
        <v>51.83</v>
      </c>
      <c r="E5">
        <v>50.74</v>
      </c>
      <c r="F5">
        <v>51.11</v>
      </c>
      <c r="G5">
        <v>51.42</v>
      </c>
      <c r="H5">
        <v>-0.31</v>
      </c>
      <c r="I5">
        <v>-0.6029</v>
      </c>
      <c r="J5">
        <v>21053.63</v>
      </c>
      <c r="K5">
        <v>107850.803</v>
      </c>
      <c r="L5" t="s">
        <v>103</v>
      </c>
      <c r="M5" t="s">
        <v>104</v>
      </c>
      <c r="N5" s="3">
        <v>45352</v>
      </c>
      <c r="O5">
        <v>4</v>
      </c>
      <c r="P5">
        <v>59</v>
      </c>
      <c r="Q5">
        <v>-55</v>
      </c>
      <c r="R5" t="s">
        <v>105</v>
      </c>
    </row>
    <row r="6" spans="1:19">
      <c r="A6" t="s">
        <v>60</v>
      </c>
      <c r="B6" s="3">
        <v>45267</v>
      </c>
      <c r="C6">
        <v>51.11</v>
      </c>
      <c r="D6">
        <v>52.44</v>
      </c>
      <c r="E6">
        <v>50.83</v>
      </c>
      <c r="F6">
        <v>51.88</v>
      </c>
      <c r="G6">
        <v>51.11</v>
      </c>
      <c r="H6">
        <v>0.77</v>
      </c>
      <c r="I6">
        <v>1.5066</v>
      </c>
      <c r="J6">
        <v>28662.8</v>
      </c>
      <c r="K6">
        <v>148069.144</v>
      </c>
      <c r="L6" t="s">
        <v>103</v>
      </c>
      <c r="M6" t="s">
        <v>104</v>
      </c>
      <c r="N6" s="3">
        <v>45352</v>
      </c>
      <c r="O6">
        <v>5</v>
      </c>
      <c r="P6">
        <v>59</v>
      </c>
      <c r="Q6">
        <v>-54</v>
      </c>
      <c r="R6" t="s">
        <v>105</v>
      </c>
    </row>
    <row r="7" spans="1:19">
      <c r="A7" t="s">
        <v>60</v>
      </c>
      <c r="B7" s="3">
        <v>45268</v>
      </c>
      <c r="C7">
        <v>52.83</v>
      </c>
      <c r="D7">
        <v>55.15</v>
      </c>
      <c r="E7">
        <v>52.77</v>
      </c>
      <c r="F7">
        <v>54.98</v>
      </c>
      <c r="G7">
        <v>51.88</v>
      </c>
      <c r="H7">
        <v>3.1</v>
      </c>
      <c r="I7">
        <v>5.9753</v>
      </c>
      <c r="J7">
        <v>73168.78</v>
      </c>
      <c r="K7">
        <v>395178.214</v>
      </c>
      <c r="L7" t="s">
        <v>103</v>
      </c>
      <c r="M7" t="s">
        <v>104</v>
      </c>
      <c r="N7" s="3">
        <v>45352</v>
      </c>
      <c r="O7">
        <v>6</v>
      </c>
      <c r="P7">
        <v>59</v>
      </c>
      <c r="Q7">
        <v>-53</v>
      </c>
      <c r="R7" t="s">
        <v>105</v>
      </c>
    </row>
    <row r="8" spans="1:19">
      <c r="A8" t="s">
        <v>60</v>
      </c>
      <c r="B8" s="3">
        <v>45271</v>
      </c>
      <c r="C8">
        <v>55.15</v>
      </c>
      <c r="D8">
        <v>56.66</v>
      </c>
      <c r="E8">
        <v>54.5</v>
      </c>
      <c r="F8">
        <v>56.35</v>
      </c>
      <c r="G8">
        <v>54.98</v>
      </c>
      <c r="H8">
        <v>1.37</v>
      </c>
      <c r="I8">
        <v>2.4918</v>
      </c>
      <c r="J8">
        <v>69323.27</v>
      </c>
      <c r="K8">
        <v>385934.467</v>
      </c>
      <c r="L8" t="s">
        <v>103</v>
      </c>
      <c r="M8" t="s">
        <v>104</v>
      </c>
      <c r="N8" s="3">
        <v>45352</v>
      </c>
      <c r="O8">
        <v>7</v>
      </c>
      <c r="P8">
        <v>59</v>
      </c>
      <c r="Q8">
        <v>-52</v>
      </c>
      <c r="R8" t="s">
        <v>105</v>
      </c>
    </row>
    <row r="9" spans="1:19">
      <c r="A9" t="s">
        <v>60</v>
      </c>
      <c r="B9" s="3">
        <v>45272</v>
      </c>
      <c r="C9">
        <v>56.86</v>
      </c>
      <c r="D9">
        <v>58.34</v>
      </c>
      <c r="E9">
        <v>55.02</v>
      </c>
      <c r="F9">
        <v>55.95</v>
      </c>
      <c r="G9">
        <v>56.35</v>
      </c>
      <c r="H9">
        <v>-0.4</v>
      </c>
      <c r="I9">
        <v>-0.7098</v>
      </c>
      <c r="J9">
        <v>73029.8</v>
      </c>
      <c r="K9">
        <v>414556.392</v>
      </c>
      <c r="L9" t="s">
        <v>103</v>
      </c>
      <c r="M9" t="s">
        <v>104</v>
      </c>
      <c r="N9" s="3">
        <v>45352</v>
      </c>
      <c r="O9">
        <v>8</v>
      </c>
      <c r="P9">
        <v>59</v>
      </c>
      <c r="Q9">
        <v>-51</v>
      </c>
      <c r="R9" t="s">
        <v>105</v>
      </c>
    </row>
    <row r="10" spans="1:19">
      <c r="A10" t="s">
        <v>60</v>
      </c>
      <c r="B10" s="3">
        <v>45273</v>
      </c>
      <c r="C10">
        <v>55.93</v>
      </c>
      <c r="D10">
        <v>57.25</v>
      </c>
      <c r="E10">
        <v>55.43</v>
      </c>
      <c r="F10">
        <v>55.6</v>
      </c>
      <c r="G10">
        <v>55.95</v>
      </c>
      <c r="H10">
        <v>-0.35</v>
      </c>
      <c r="I10">
        <v>-0.6256</v>
      </c>
      <c r="J10">
        <v>41333.24</v>
      </c>
      <c r="K10">
        <v>233007.42</v>
      </c>
      <c r="L10" t="s">
        <v>103</v>
      </c>
      <c r="M10" t="s">
        <v>104</v>
      </c>
      <c r="N10" s="3">
        <v>45352</v>
      </c>
      <c r="O10">
        <v>9</v>
      </c>
      <c r="P10">
        <v>59</v>
      </c>
      <c r="Q10">
        <v>-50</v>
      </c>
      <c r="R10" t="s">
        <v>105</v>
      </c>
    </row>
    <row r="11" spans="1:19">
      <c r="A11" t="s">
        <v>60</v>
      </c>
      <c r="B11" s="3">
        <v>45274</v>
      </c>
      <c r="C11">
        <v>56.07</v>
      </c>
      <c r="D11">
        <v>57.2</v>
      </c>
      <c r="E11">
        <v>54.66</v>
      </c>
      <c r="F11">
        <v>54.92</v>
      </c>
      <c r="G11">
        <v>55.6</v>
      </c>
      <c r="H11">
        <v>-0.68</v>
      </c>
      <c r="I11">
        <v>-1.223</v>
      </c>
      <c r="J11">
        <v>38123.6</v>
      </c>
      <c r="K11">
        <v>212558.337</v>
      </c>
      <c r="L11" t="s">
        <v>103</v>
      </c>
      <c r="M11" t="s">
        <v>104</v>
      </c>
      <c r="N11" s="3">
        <v>45352</v>
      </c>
      <c r="O11">
        <v>10</v>
      </c>
      <c r="P11">
        <v>59</v>
      </c>
      <c r="Q11">
        <v>-49</v>
      </c>
      <c r="R11" t="s">
        <v>105</v>
      </c>
    </row>
    <row r="12" spans="1:19">
      <c r="A12" t="s">
        <v>60</v>
      </c>
      <c r="B12" s="3">
        <v>45275</v>
      </c>
      <c r="C12">
        <v>54.61</v>
      </c>
      <c r="D12">
        <v>55.22</v>
      </c>
      <c r="E12">
        <v>53.01</v>
      </c>
      <c r="F12">
        <v>53.36</v>
      </c>
      <c r="G12">
        <v>54.92</v>
      </c>
      <c r="H12">
        <v>-1.56</v>
      </c>
      <c r="I12">
        <v>-2.8405</v>
      </c>
      <c r="J12">
        <v>40491.51</v>
      </c>
      <c r="K12">
        <v>218799.421</v>
      </c>
      <c r="L12" t="s">
        <v>103</v>
      </c>
      <c r="M12" t="s">
        <v>104</v>
      </c>
      <c r="N12" s="3">
        <v>45352</v>
      </c>
      <c r="O12">
        <v>11</v>
      </c>
      <c r="P12">
        <v>59</v>
      </c>
      <c r="Q12">
        <v>-48</v>
      </c>
      <c r="R12" t="s">
        <v>105</v>
      </c>
    </row>
    <row r="13" spans="1:19">
      <c r="A13" t="s">
        <v>60</v>
      </c>
      <c r="B13" s="3">
        <v>45278</v>
      </c>
      <c r="C13">
        <v>53.07</v>
      </c>
      <c r="D13">
        <v>53.34</v>
      </c>
      <c r="E13">
        <v>51.26</v>
      </c>
      <c r="F13">
        <v>51.6</v>
      </c>
      <c r="G13">
        <v>53.36</v>
      </c>
      <c r="H13">
        <v>-1.76</v>
      </c>
      <c r="I13">
        <v>-3.2984</v>
      </c>
      <c r="J13">
        <v>31811.08</v>
      </c>
      <c r="K13">
        <v>165616.501</v>
      </c>
      <c r="L13" t="s">
        <v>103</v>
      </c>
      <c r="M13" t="s">
        <v>104</v>
      </c>
      <c r="N13" s="3">
        <v>45352</v>
      </c>
      <c r="O13">
        <v>12</v>
      </c>
      <c r="P13">
        <v>59</v>
      </c>
      <c r="Q13">
        <v>-47</v>
      </c>
      <c r="R13" t="s">
        <v>105</v>
      </c>
    </row>
    <row r="14" spans="1:19">
      <c r="A14" t="s">
        <v>60</v>
      </c>
      <c r="B14" s="3">
        <v>45279</v>
      </c>
      <c r="C14">
        <v>52.09</v>
      </c>
      <c r="D14">
        <v>52.23</v>
      </c>
      <c r="E14">
        <v>51</v>
      </c>
      <c r="F14">
        <v>51.46</v>
      </c>
      <c r="G14">
        <v>51.6</v>
      </c>
      <c r="H14">
        <v>-0.14</v>
      </c>
      <c r="I14">
        <v>-0.2713</v>
      </c>
      <c r="J14">
        <v>27905.2</v>
      </c>
      <c r="K14">
        <v>143526.567</v>
      </c>
      <c r="L14" t="s">
        <v>103</v>
      </c>
      <c r="M14" t="s">
        <v>104</v>
      </c>
      <c r="N14" s="3">
        <v>45352</v>
      </c>
      <c r="O14">
        <v>13</v>
      </c>
      <c r="P14">
        <v>59</v>
      </c>
      <c r="Q14">
        <v>-46</v>
      </c>
      <c r="R14" t="s">
        <v>105</v>
      </c>
    </row>
    <row r="15" spans="1:19">
      <c r="A15" t="s">
        <v>60</v>
      </c>
      <c r="B15" s="3">
        <v>45280</v>
      </c>
      <c r="C15">
        <v>51.69</v>
      </c>
      <c r="D15">
        <v>51.69</v>
      </c>
      <c r="E15">
        <v>48.32</v>
      </c>
      <c r="F15">
        <v>48.77</v>
      </c>
      <c r="G15">
        <v>51.46</v>
      </c>
      <c r="H15">
        <v>-2.69</v>
      </c>
      <c r="I15">
        <v>-5.2274</v>
      </c>
      <c r="J15">
        <v>48455.21</v>
      </c>
      <c r="K15">
        <v>238828.723</v>
      </c>
      <c r="L15" t="s">
        <v>103</v>
      </c>
      <c r="M15" t="s">
        <v>104</v>
      </c>
      <c r="N15" s="3">
        <v>45352</v>
      </c>
      <c r="O15">
        <v>14</v>
      </c>
      <c r="P15">
        <v>59</v>
      </c>
      <c r="Q15">
        <v>-45</v>
      </c>
      <c r="R15" t="s">
        <v>105</v>
      </c>
    </row>
    <row r="16" spans="1:19">
      <c r="A16" t="s">
        <v>60</v>
      </c>
      <c r="B16" s="3">
        <v>45281</v>
      </c>
      <c r="C16">
        <v>48.45</v>
      </c>
      <c r="D16">
        <v>50.28</v>
      </c>
      <c r="E16">
        <v>48.44</v>
      </c>
      <c r="F16">
        <v>49.71</v>
      </c>
      <c r="G16">
        <v>48.77</v>
      </c>
      <c r="H16">
        <v>0.94</v>
      </c>
      <c r="I16">
        <v>1.9274</v>
      </c>
      <c r="J16">
        <v>32127.57</v>
      </c>
      <c r="K16">
        <v>158725.426</v>
      </c>
      <c r="L16" t="s">
        <v>103</v>
      </c>
      <c r="M16" t="s">
        <v>104</v>
      </c>
      <c r="N16" s="3">
        <v>45352</v>
      </c>
      <c r="O16">
        <v>15</v>
      </c>
      <c r="P16">
        <v>59</v>
      </c>
      <c r="Q16">
        <v>-44</v>
      </c>
      <c r="R16" t="s">
        <v>105</v>
      </c>
    </row>
    <row r="17" spans="1:18">
      <c r="A17" t="s">
        <v>60</v>
      </c>
      <c r="B17" s="3">
        <v>45282</v>
      </c>
      <c r="C17">
        <v>49.71</v>
      </c>
      <c r="D17">
        <v>50.1</v>
      </c>
      <c r="E17">
        <v>48.33</v>
      </c>
      <c r="F17">
        <v>48.69</v>
      </c>
      <c r="G17">
        <v>49.71</v>
      </c>
      <c r="H17">
        <v>-1.02</v>
      </c>
      <c r="I17">
        <v>-2.0519</v>
      </c>
      <c r="J17">
        <v>30820.05</v>
      </c>
      <c r="K17">
        <v>150943.468</v>
      </c>
      <c r="L17" t="s">
        <v>103</v>
      </c>
      <c r="M17" t="s">
        <v>104</v>
      </c>
      <c r="N17" s="3">
        <v>45352</v>
      </c>
      <c r="O17">
        <v>16</v>
      </c>
      <c r="P17">
        <v>59</v>
      </c>
      <c r="Q17">
        <v>-43</v>
      </c>
      <c r="R17" t="s">
        <v>105</v>
      </c>
    </row>
    <row r="18" spans="1:18">
      <c r="A18" t="s">
        <v>60</v>
      </c>
      <c r="B18" s="3">
        <v>45285</v>
      </c>
      <c r="C18">
        <v>48.51</v>
      </c>
      <c r="D18">
        <v>49.8</v>
      </c>
      <c r="E18">
        <v>48.45</v>
      </c>
      <c r="F18">
        <v>49.24</v>
      </c>
      <c r="G18">
        <v>48.69</v>
      </c>
      <c r="H18">
        <v>0.55</v>
      </c>
      <c r="I18">
        <v>1.1296</v>
      </c>
      <c r="J18">
        <v>29381.93</v>
      </c>
      <c r="K18">
        <v>145048.038</v>
      </c>
      <c r="L18" t="s">
        <v>103</v>
      </c>
      <c r="M18" t="s">
        <v>104</v>
      </c>
      <c r="N18" s="3">
        <v>45352</v>
      </c>
      <c r="O18">
        <v>17</v>
      </c>
      <c r="P18">
        <v>59</v>
      </c>
      <c r="Q18">
        <v>-42</v>
      </c>
      <c r="R18" t="s">
        <v>105</v>
      </c>
    </row>
    <row r="19" spans="1:18">
      <c r="A19" t="s">
        <v>60</v>
      </c>
      <c r="B19" s="3">
        <v>45286</v>
      </c>
      <c r="C19">
        <v>49.22</v>
      </c>
      <c r="D19">
        <v>49.57</v>
      </c>
      <c r="E19">
        <v>46.7</v>
      </c>
      <c r="F19">
        <v>46.9</v>
      </c>
      <c r="G19">
        <v>49.24</v>
      </c>
      <c r="H19">
        <v>-2.34</v>
      </c>
      <c r="I19">
        <v>-4.7522</v>
      </c>
      <c r="J19">
        <v>30779.49</v>
      </c>
      <c r="K19">
        <v>146637.268</v>
      </c>
      <c r="L19" t="s">
        <v>103</v>
      </c>
      <c r="M19" t="s">
        <v>104</v>
      </c>
      <c r="N19" s="3">
        <v>45352</v>
      </c>
      <c r="O19">
        <v>18</v>
      </c>
      <c r="P19">
        <v>59</v>
      </c>
      <c r="Q19">
        <v>-41</v>
      </c>
      <c r="R19" t="s">
        <v>105</v>
      </c>
    </row>
    <row r="20" spans="1:18">
      <c r="A20" t="s">
        <v>60</v>
      </c>
      <c r="B20" s="3">
        <v>45287</v>
      </c>
      <c r="C20">
        <v>47.06</v>
      </c>
      <c r="D20">
        <v>47.6</v>
      </c>
      <c r="E20">
        <v>46.77</v>
      </c>
      <c r="F20">
        <v>47.09</v>
      </c>
      <c r="G20">
        <v>46.9</v>
      </c>
      <c r="H20">
        <v>0.19</v>
      </c>
      <c r="I20">
        <v>0.4051</v>
      </c>
      <c r="J20">
        <v>25728.3</v>
      </c>
      <c r="K20">
        <v>121440.624</v>
      </c>
      <c r="L20" t="s">
        <v>103</v>
      </c>
      <c r="M20" t="s">
        <v>104</v>
      </c>
      <c r="N20" s="3">
        <v>45352</v>
      </c>
      <c r="O20">
        <v>19</v>
      </c>
      <c r="P20">
        <v>59</v>
      </c>
      <c r="Q20">
        <v>-40</v>
      </c>
      <c r="R20" t="s">
        <v>105</v>
      </c>
    </row>
    <row r="21" spans="1:18">
      <c r="A21" t="s">
        <v>60</v>
      </c>
      <c r="B21" s="3">
        <v>45288</v>
      </c>
      <c r="C21">
        <v>47.01</v>
      </c>
      <c r="D21">
        <v>49.3</v>
      </c>
      <c r="E21">
        <v>46.34</v>
      </c>
      <c r="F21">
        <v>49.25</v>
      </c>
      <c r="G21">
        <v>47.09</v>
      </c>
      <c r="H21">
        <v>2.16</v>
      </c>
      <c r="I21">
        <v>4.587</v>
      </c>
      <c r="J21">
        <v>40803.34</v>
      </c>
      <c r="K21">
        <v>197501.894</v>
      </c>
      <c r="L21" t="s">
        <v>103</v>
      </c>
      <c r="M21" t="s">
        <v>104</v>
      </c>
      <c r="N21" s="3">
        <v>45352</v>
      </c>
      <c r="O21">
        <v>20</v>
      </c>
      <c r="P21">
        <v>59</v>
      </c>
      <c r="Q21">
        <v>-39</v>
      </c>
      <c r="R21" t="s">
        <v>105</v>
      </c>
    </row>
    <row r="22" spans="1:18">
      <c r="A22" t="s">
        <v>60</v>
      </c>
      <c r="B22" s="3">
        <v>45289</v>
      </c>
      <c r="C22">
        <v>49.11</v>
      </c>
      <c r="D22">
        <v>50.25</v>
      </c>
      <c r="E22">
        <v>49.01</v>
      </c>
      <c r="F22">
        <v>49.96</v>
      </c>
      <c r="G22">
        <v>49.25</v>
      </c>
      <c r="H22">
        <v>0.71</v>
      </c>
      <c r="I22">
        <v>1.4416</v>
      </c>
      <c r="J22">
        <v>25179.78</v>
      </c>
      <c r="K22">
        <v>125578.999</v>
      </c>
      <c r="L22" t="s">
        <v>103</v>
      </c>
      <c r="M22" t="s">
        <v>104</v>
      </c>
      <c r="N22" s="3">
        <v>45352</v>
      </c>
      <c r="O22">
        <v>21</v>
      </c>
      <c r="P22">
        <v>59</v>
      </c>
      <c r="Q22">
        <v>-38</v>
      </c>
      <c r="R22" t="s">
        <v>105</v>
      </c>
    </row>
    <row r="23" spans="1:18">
      <c r="A23" t="s">
        <v>60</v>
      </c>
      <c r="B23" s="3">
        <v>45293</v>
      </c>
      <c r="C23">
        <v>49.82</v>
      </c>
      <c r="D23">
        <v>49.93</v>
      </c>
      <c r="E23">
        <v>47.75</v>
      </c>
      <c r="F23">
        <v>47.78</v>
      </c>
      <c r="G23">
        <v>49.96</v>
      </c>
      <c r="H23">
        <v>-2.18</v>
      </c>
      <c r="I23">
        <v>-4.3635</v>
      </c>
      <c r="J23">
        <v>30373.62</v>
      </c>
      <c r="K23">
        <v>146747.439</v>
      </c>
      <c r="L23" t="s">
        <v>103</v>
      </c>
      <c r="M23" t="s">
        <v>104</v>
      </c>
      <c r="N23" s="3">
        <v>45352</v>
      </c>
      <c r="O23">
        <v>22</v>
      </c>
      <c r="P23">
        <v>59</v>
      </c>
      <c r="Q23">
        <v>-37</v>
      </c>
      <c r="R23" t="s">
        <v>105</v>
      </c>
    </row>
    <row r="24" spans="1:18">
      <c r="A24" t="s">
        <v>60</v>
      </c>
      <c r="B24" s="3">
        <v>45294</v>
      </c>
      <c r="C24">
        <v>47.54</v>
      </c>
      <c r="D24">
        <v>48.08</v>
      </c>
      <c r="E24">
        <v>46.16</v>
      </c>
      <c r="F24">
        <v>46.53</v>
      </c>
      <c r="G24">
        <v>47.78</v>
      </c>
      <c r="H24">
        <v>-1.25</v>
      </c>
      <c r="I24">
        <v>-2.6162</v>
      </c>
      <c r="J24">
        <v>28473.89</v>
      </c>
      <c r="K24">
        <v>133553.168</v>
      </c>
      <c r="L24" t="s">
        <v>103</v>
      </c>
      <c r="M24" t="s">
        <v>104</v>
      </c>
      <c r="N24" s="3">
        <v>45352</v>
      </c>
      <c r="O24">
        <v>23</v>
      </c>
      <c r="P24">
        <v>59</v>
      </c>
      <c r="Q24">
        <v>-36</v>
      </c>
      <c r="R24" t="s">
        <v>105</v>
      </c>
    </row>
    <row r="25" spans="1:18">
      <c r="A25" t="s">
        <v>60</v>
      </c>
      <c r="B25" s="3">
        <v>45295</v>
      </c>
      <c r="C25">
        <v>46.53</v>
      </c>
      <c r="D25">
        <v>47.78</v>
      </c>
      <c r="E25">
        <v>45.5</v>
      </c>
      <c r="F25">
        <v>45.7</v>
      </c>
      <c r="G25">
        <v>46.53</v>
      </c>
      <c r="H25">
        <v>-0.83</v>
      </c>
      <c r="I25">
        <v>-1.7838</v>
      </c>
      <c r="J25">
        <v>23234.11</v>
      </c>
      <c r="K25">
        <v>107069.753</v>
      </c>
      <c r="L25" t="s">
        <v>103</v>
      </c>
      <c r="M25" t="s">
        <v>104</v>
      </c>
      <c r="N25" s="3">
        <v>45352</v>
      </c>
      <c r="O25">
        <v>24</v>
      </c>
      <c r="P25">
        <v>59</v>
      </c>
      <c r="Q25">
        <v>-35</v>
      </c>
      <c r="R25" t="s">
        <v>105</v>
      </c>
    </row>
    <row r="26" spans="1:18">
      <c r="A26" t="s">
        <v>60</v>
      </c>
      <c r="B26" s="3">
        <v>45296</v>
      </c>
      <c r="C26">
        <v>45.6</v>
      </c>
      <c r="D26">
        <v>46.46</v>
      </c>
      <c r="E26">
        <v>44.72</v>
      </c>
      <c r="F26">
        <v>45.16</v>
      </c>
      <c r="G26">
        <v>45.7</v>
      </c>
      <c r="H26">
        <v>-0.54</v>
      </c>
      <c r="I26">
        <v>-1.1816</v>
      </c>
      <c r="J26">
        <v>26013.76</v>
      </c>
      <c r="K26">
        <v>118552.804</v>
      </c>
      <c r="L26" t="s">
        <v>103</v>
      </c>
      <c r="M26" t="s">
        <v>104</v>
      </c>
      <c r="N26" s="3">
        <v>45352</v>
      </c>
      <c r="O26">
        <v>25</v>
      </c>
      <c r="P26">
        <v>59</v>
      </c>
      <c r="Q26">
        <v>-34</v>
      </c>
      <c r="R26" t="s">
        <v>105</v>
      </c>
    </row>
    <row r="27" spans="1:18">
      <c r="A27" t="s">
        <v>60</v>
      </c>
      <c r="B27" s="3">
        <v>45299</v>
      </c>
      <c r="C27">
        <v>44.97</v>
      </c>
      <c r="D27">
        <v>45.2</v>
      </c>
      <c r="E27">
        <v>43.51</v>
      </c>
      <c r="F27">
        <v>43.56</v>
      </c>
      <c r="G27">
        <v>45.16</v>
      </c>
      <c r="H27">
        <v>-1.6</v>
      </c>
      <c r="I27">
        <v>-3.543</v>
      </c>
      <c r="J27">
        <v>25866.41</v>
      </c>
      <c r="K27">
        <v>114069.924</v>
      </c>
      <c r="L27" t="s">
        <v>103</v>
      </c>
      <c r="M27" t="s">
        <v>104</v>
      </c>
      <c r="N27" s="3">
        <v>45352</v>
      </c>
      <c r="O27">
        <v>26</v>
      </c>
      <c r="P27">
        <v>59</v>
      </c>
      <c r="Q27">
        <v>-33</v>
      </c>
      <c r="R27" t="s">
        <v>105</v>
      </c>
    </row>
    <row r="28" spans="1:18">
      <c r="A28" t="s">
        <v>60</v>
      </c>
      <c r="B28" s="3">
        <v>45300</v>
      </c>
      <c r="C28">
        <v>43.93</v>
      </c>
      <c r="D28">
        <v>44.83</v>
      </c>
      <c r="E28">
        <v>42.33</v>
      </c>
      <c r="F28">
        <v>42.6</v>
      </c>
      <c r="G28">
        <v>43.56</v>
      </c>
      <c r="H28">
        <v>-0.96</v>
      </c>
      <c r="I28">
        <v>-2.2039</v>
      </c>
      <c r="J28">
        <v>36309.75</v>
      </c>
      <c r="K28">
        <v>157068.923</v>
      </c>
      <c r="L28" t="s">
        <v>103</v>
      </c>
      <c r="M28" t="s">
        <v>104</v>
      </c>
      <c r="N28" s="3">
        <v>45352</v>
      </c>
      <c r="O28">
        <v>27</v>
      </c>
      <c r="P28">
        <v>59</v>
      </c>
      <c r="Q28">
        <v>-32</v>
      </c>
      <c r="R28" t="s">
        <v>105</v>
      </c>
    </row>
    <row r="29" spans="1:18">
      <c r="A29" t="s">
        <v>60</v>
      </c>
      <c r="B29" s="3">
        <v>45301</v>
      </c>
      <c r="C29">
        <v>42.68</v>
      </c>
      <c r="D29">
        <v>45.28</v>
      </c>
      <c r="E29">
        <v>42.02</v>
      </c>
      <c r="F29">
        <v>44.3</v>
      </c>
      <c r="G29">
        <v>42.6</v>
      </c>
      <c r="H29">
        <v>1.7</v>
      </c>
      <c r="I29">
        <v>3.9906</v>
      </c>
      <c r="J29">
        <v>45683.5</v>
      </c>
      <c r="K29">
        <v>201440.166</v>
      </c>
      <c r="L29" t="s">
        <v>103</v>
      </c>
      <c r="M29" t="s">
        <v>104</v>
      </c>
      <c r="N29" s="3">
        <v>45352</v>
      </c>
      <c r="O29">
        <v>28</v>
      </c>
      <c r="P29">
        <v>59</v>
      </c>
      <c r="Q29">
        <v>-31</v>
      </c>
      <c r="R29" t="s">
        <v>105</v>
      </c>
    </row>
    <row r="30" spans="1:18">
      <c r="A30" t="s">
        <v>60</v>
      </c>
      <c r="B30" s="3">
        <v>45302</v>
      </c>
      <c r="C30">
        <v>44.43</v>
      </c>
      <c r="D30">
        <v>45.58</v>
      </c>
      <c r="E30">
        <v>44.01</v>
      </c>
      <c r="F30">
        <v>44.48</v>
      </c>
      <c r="G30">
        <v>44.3</v>
      </c>
      <c r="H30">
        <v>0.18</v>
      </c>
      <c r="I30">
        <v>0.4063</v>
      </c>
      <c r="J30">
        <v>34346.07</v>
      </c>
      <c r="K30">
        <v>153383.086</v>
      </c>
      <c r="L30" t="s">
        <v>103</v>
      </c>
      <c r="M30" t="s">
        <v>104</v>
      </c>
      <c r="N30" s="3">
        <v>45352</v>
      </c>
      <c r="O30">
        <v>29</v>
      </c>
      <c r="P30">
        <v>59</v>
      </c>
      <c r="Q30">
        <v>-30</v>
      </c>
      <c r="R30" t="s">
        <v>105</v>
      </c>
    </row>
    <row r="31" spans="1:18">
      <c r="A31" t="s">
        <v>60</v>
      </c>
      <c r="B31" s="3">
        <v>45303</v>
      </c>
      <c r="C31">
        <v>44.3</v>
      </c>
      <c r="D31">
        <v>44.44</v>
      </c>
      <c r="E31">
        <v>42.95</v>
      </c>
      <c r="F31">
        <v>43.13</v>
      </c>
      <c r="G31">
        <v>44.48</v>
      </c>
      <c r="H31">
        <v>-1.35</v>
      </c>
      <c r="I31">
        <v>-3.0351</v>
      </c>
      <c r="J31">
        <v>31171.72</v>
      </c>
      <c r="K31">
        <v>135836.479</v>
      </c>
      <c r="L31" t="s">
        <v>103</v>
      </c>
      <c r="M31" t="s">
        <v>104</v>
      </c>
      <c r="N31" s="3">
        <v>45352</v>
      </c>
      <c r="O31">
        <v>30</v>
      </c>
      <c r="P31">
        <v>59</v>
      </c>
      <c r="Q31">
        <v>-29</v>
      </c>
      <c r="R31" t="s">
        <v>105</v>
      </c>
    </row>
    <row r="32" spans="1:18">
      <c r="A32" t="s">
        <v>60</v>
      </c>
      <c r="B32" s="3">
        <v>45306</v>
      </c>
      <c r="C32">
        <v>42.94</v>
      </c>
      <c r="D32">
        <v>44.31</v>
      </c>
      <c r="E32">
        <v>42.72</v>
      </c>
      <c r="F32">
        <v>43.35</v>
      </c>
      <c r="G32">
        <v>43.13</v>
      </c>
      <c r="H32">
        <v>0.22</v>
      </c>
      <c r="I32">
        <v>0.5101</v>
      </c>
      <c r="J32">
        <v>31846.75</v>
      </c>
      <c r="K32">
        <v>138434.719</v>
      </c>
      <c r="L32" t="s">
        <v>103</v>
      </c>
      <c r="M32" t="s">
        <v>104</v>
      </c>
      <c r="N32" s="3">
        <v>45352</v>
      </c>
      <c r="O32">
        <v>31</v>
      </c>
      <c r="P32">
        <v>59</v>
      </c>
      <c r="Q32">
        <v>-28</v>
      </c>
      <c r="R32" t="s">
        <v>105</v>
      </c>
    </row>
    <row r="33" spans="1:18">
      <c r="A33" t="s">
        <v>60</v>
      </c>
      <c r="B33" s="3">
        <v>45307</v>
      </c>
      <c r="C33">
        <v>43.65</v>
      </c>
      <c r="D33">
        <v>43.65</v>
      </c>
      <c r="E33">
        <v>42.16</v>
      </c>
      <c r="F33">
        <v>42.92</v>
      </c>
      <c r="G33">
        <v>43.35</v>
      </c>
      <c r="H33">
        <v>-0.43</v>
      </c>
      <c r="I33">
        <v>-0.9919</v>
      </c>
      <c r="J33">
        <v>21711.68</v>
      </c>
      <c r="K33">
        <v>92774.87</v>
      </c>
      <c r="L33" t="s">
        <v>103</v>
      </c>
      <c r="M33" t="s">
        <v>104</v>
      </c>
      <c r="N33" s="3">
        <v>45352</v>
      </c>
      <c r="O33">
        <v>32</v>
      </c>
      <c r="P33">
        <v>59</v>
      </c>
      <c r="Q33">
        <v>-27</v>
      </c>
      <c r="R33" t="s">
        <v>105</v>
      </c>
    </row>
    <row r="34" spans="1:18">
      <c r="A34" t="s">
        <v>60</v>
      </c>
      <c r="B34" s="3">
        <v>45308</v>
      </c>
      <c r="C34">
        <v>42.92</v>
      </c>
      <c r="D34">
        <v>42.99</v>
      </c>
      <c r="E34">
        <v>41.38</v>
      </c>
      <c r="F34">
        <v>41.38</v>
      </c>
      <c r="G34">
        <v>42.92</v>
      </c>
      <c r="H34">
        <v>-1.54</v>
      </c>
      <c r="I34">
        <v>-3.5881</v>
      </c>
      <c r="J34">
        <v>20233.35</v>
      </c>
      <c r="K34">
        <v>85448.556</v>
      </c>
      <c r="L34" t="s">
        <v>103</v>
      </c>
      <c r="M34" t="s">
        <v>104</v>
      </c>
      <c r="N34" s="3">
        <v>45352</v>
      </c>
      <c r="O34">
        <v>33</v>
      </c>
      <c r="P34">
        <v>59</v>
      </c>
      <c r="Q34">
        <v>-26</v>
      </c>
      <c r="R34" t="s">
        <v>105</v>
      </c>
    </row>
    <row r="35" spans="1:18">
      <c r="A35" t="s">
        <v>60</v>
      </c>
      <c r="B35" s="3">
        <v>45309</v>
      </c>
      <c r="C35">
        <v>41.23</v>
      </c>
      <c r="D35">
        <v>42.28</v>
      </c>
      <c r="E35">
        <v>40.4</v>
      </c>
      <c r="F35">
        <v>42</v>
      </c>
      <c r="G35">
        <v>41.38</v>
      </c>
      <c r="H35">
        <v>0.62</v>
      </c>
      <c r="I35">
        <v>1.4983</v>
      </c>
      <c r="J35">
        <v>38374.73</v>
      </c>
      <c r="K35">
        <v>157873.636</v>
      </c>
      <c r="L35" t="s">
        <v>103</v>
      </c>
      <c r="M35" t="s">
        <v>104</v>
      </c>
      <c r="N35" s="3">
        <v>45352</v>
      </c>
      <c r="O35">
        <v>34</v>
      </c>
      <c r="P35">
        <v>59</v>
      </c>
      <c r="Q35">
        <v>-25</v>
      </c>
      <c r="R35" t="s">
        <v>105</v>
      </c>
    </row>
    <row r="36" spans="1:18">
      <c r="A36" t="s">
        <v>60</v>
      </c>
      <c r="B36" s="3">
        <v>45310</v>
      </c>
      <c r="C36">
        <v>42.1</v>
      </c>
      <c r="D36">
        <v>42.41</v>
      </c>
      <c r="E36">
        <v>41.23</v>
      </c>
      <c r="F36">
        <v>41.28</v>
      </c>
      <c r="G36">
        <v>42</v>
      </c>
      <c r="H36">
        <v>-0.72</v>
      </c>
      <c r="I36">
        <v>-1.7143</v>
      </c>
      <c r="J36">
        <v>21533.07</v>
      </c>
      <c r="K36">
        <v>89931.578</v>
      </c>
      <c r="L36" t="s">
        <v>103</v>
      </c>
      <c r="M36" t="s">
        <v>104</v>
      </c>
      <c r="N36" s="3">
        <v>45352</v>
      </c>
      <c r="O36">
        <v>35</v>
      </c>
      <c r="P36">
        <v>59</v>
      </c>
      <c r="Q36">
        <v>-24</v>
      </c>
      <c r="R36" t="s">
        <v>105</v>
      </c>
    </row>
    <row r="37" spans="1:18">
      <c r="A37" t="s">
        <v>60</v>
      </c>
      <c r="B37" s="3">
        <v>45313</v>
      </c>
      <c r="C37">
        <v>41</v>
      </c>
      <c r="D37">
        <v>41.53</v>
      </c>
      <c r="E37">
        <v>39.02</v>
      </c>
      <c r="F37">
        <v>39.7</v>
      </c>
      <c r="G37">
        <v>41.28</v>
      </c>
      <c r="H37">
        <v>-1.58</v>
      </c>
      <c r="I37">
        <v>-3.8275</v>
      </c>
      <c r="J37">
        <v>45665.2</v>
      </c>
      <c r="K37">
        <v>183417.889</v>
      </c>
      <c r="L37" t="s">
        <v>103</v>
      </c>
      <c r="M37" t="s">
        <v>104</v>
      </c>
      <c r="N37" s="3">
        <v>45352</v>
      </c>
      <c r="O37">
        <v>36</v>
      </c>
      <c r="P37">
        <v>59</v>
      </c>
      <c r="Q37">
        <v>-23</v>
      </c>
      <c r="R37" t="s">
        <v>105</v>
      </c>
    </row>
    <row r="38" spans="1:18">
      <c r="A38" t="s">
        <v>60</v>
      </c>
      <c r="B38" s="3">
        <v>45314</v>
      </c>
      <c r="C38">
        <v>39.5</v>
      </c>
      <c r="D38">
        <v>40.03</v>
      </c>
      <c r="E38">
        <v>38.76</v>
      </c>
      <c r="F38">
        <v>39.74</v>
      </c>
      <c r="G38">
        <v>39.7</v>
      </c>
      <c r="H38">
        <v>0.04</v>
      </c>
      <c r="I38">
        <v>0.1008</v>
      </c>
      <c r="J38">
        <v>40779.68</v>
      </c>
      <c r="K38">
        <v>160958.851</v>
      </c>
      <c r="L38" t="s">
        <v>103</v>
      </c>
      <c r="M38" t="s">
        <v>104</v>
      </c>
      <c r="N38" s="3">
        <v>45352</v>
      </c>
      <c r="O38">
        <v>37</v>
      </c>
      <c r="P38">
        <v>59</v>
      </c>
      <c r="Q38">
        <v>-22</v>
      </c>
      <c r="R38" t="s">
        <v>105</v>
      </c>
    </row>
    <row r="39" spans="1:18">
      <c r="A39" t="s">
        <v>60</v>
      </c>
      <c r="B39" s="3">
        <v>45315</v>
      </c>
      <c r="C39">
        <v>39.82</v>
      </c>
      <c r="D39">
        <v>40.25</v>
      </c>
      <c r="E39">
        <v>38</v>
      </c>
      <c r="F39">
        <v>39.41</v>
      </c>
      <c r="G39">
        <v>39.74</v>
      </c>
      <c r="H39">
        <v>-0.33</v>
      </c>
      <c r="I39">
        <v>-0.8304</v>
      </c>
      <c r="J39">
        <v>40227.34</v>
      </c>
      <c r="K39">
        <v>156499.346</v>
      </c>
      <c r="L39" t="s">
        <v>103</v>
      </c>
      <c r="M39" t="s">
        <v>104</v>
      </c>
      <c r="N39" s="3">
        <v>45352</v>
      </c>
      <c r="O39">
        <v>38</v>
      </c>
      <c r="P39">
        <v>59</v>
      </c>
      <c r="Q39">
        <v>-21</v>
      </c>
      <c r="R39" t="s">
        <v>105</v>
      </c>
    </row>
    <row r="40" spans="1:18">
      <c r="A40" t="s">
        <v>60</v>
      </c>
      <c r="B40" s="3">
        <v>45316</v>
      </c>
      <c r="C40">
        <v>39.6</v>
      </c>
      <c r="D40">
        <v>41.1</v>
      </c>
      <c r="E40">
        <v>38.94</v>
      </c>
      <c r="F40">
        <v>41.01</v>
      </c>
      <c r="G40">
        <v>39.41</v>
      </c>
      <c r="H40">
        <v>1.6</v>
      </c>
      <c r="I40">
        <v>4.0599</v>
      </c>
      <c r="J40">
        <v>35719.4</v>
      </c>
      <c r="K40">
        <v>144025.776</v>
      </c>
      <c r="L40" t="s">
        <v>103</v>
      </c>
      <c r="M40" t="s">
        <v>104</v>
      </c>
      <c r="N40" s="3">
        <v>45352</v>
      </c>
      <c r="O40">
        <v>39</v>
      </c>
      <c r="P40">
        <v>59</v>
      </c>
      <c r="Q40">
        <v>-20</v>
      </c>
      <c r="R40" t="s">
        <v>105</v>
      </c>
    </row>
    <row r="41" spans="1:18">
      <c r="A41" t="s">
        <v>60</v>
      </c>
      <c r="B41" s="3">
        <v>45317</v>
      </c>
      <c r="C41">
        <v>40.66</v>
      </c>
      <c r="D41">
        <v>41.15</v>
      </c>
      <c r="E41">
        <v>38.95</v>
      </c>
      <c r="F41">
        <v>39</v>
      </c>
      <c r="G41">
        <v>41.01</v>
      </c>
      <c r="H41">
        <v>-2.01</v>
      </c>
      <c r="I41">
        <v>-4.9012</v>
      </c>
      <c r="J41">
        <v>33750.19</v>
      </c>
      <c r="K41">
        <v>133956.648</v>
      </c>
      <c r="L41" t="s">
        <v>103</v>
      </c>
      <c r="M41" t="s">
        <v>104</v>
      </c>
      <c r="N41" s="3">
        <v>45352</v>
      </c>
      <c r="O41">
        <v>40</v>
      </c>
      <c r="P41">
        <v>59</v>
      </c>
      <c r="Q41">
        <v>-19</v>
      </c>
      <c r="R41" t="s">
        <v>105</v>
      </c>
    </row>
    <row r="42" spans="1:18">
      <c r="A42" t="s">
        <v>60</v>
      </c>
      <c r="B42" s="3">
        <v>45320</v>
      </c>
      <c r="C42">
        <v>39.46</v>
      </c>
      <c r="D42">
        <v>40.38</v>
      </c>
      <c r="E42">
        <v>37.89</v>
      </c>
      <c r="F42">
        <v>38.07</v>
      </c>
      <c r="G42">
        <v>39</v>
      </c>
      <c r="H42">
        <v>-0.93</v>
      </c>
      <c r="I42">
        <v>-2.3846</v>
      </c>
      <c r="J42">
        <v>32587.03</v>
      </c>
      <c r="K42">
        <v>126415.236</v>
      </c>
      <c r="L42" t="s">
        <v>103</v>
      </c>
      <c r="M42" t="s">
        <v>104</v>
      </c>
      <c r="N42" s="3">
        <v>45352</v>
      </c>
      <c r="O42">
        <v>41</v>
      </c>
      <c r="P42">
        <v>59</v>
      </c>
      <c r="Q42">
        <v>-18</v>
      </c>
      <c r="R42" t="s">
        <v>105</v>
      </c>
    </row>
    <row r="43" spans="1:18">
      <c r="A43" t="s">
        <v>60</v>
      </c>
      <c r="B43" s="3">
        <v>45321</v>
      </c>
      <c r="C43">
        <v>37.55</v>
      </c>
      <c r="D43">
        <v>38.61</v>
      </c>
      <c r="E43">
        <v>36.15</v>
      </c>
      <c r="F43">
        <v>36.31</v>
      </c>
      <c r="G43">
        <v>38.07</v>
      </c>
      <c r="H43">
        <v>-1.76</v>
      </c>
      <c r="I43">
        <v>-4.6231</v>
      </c>
      <c r="J43">
        <v>35165.35</v>
      </c>
      <c r="K43">
        <v>130231.355</v>
      </c>
      <c r="L43" t="s">
        <v>103</v>
      </c>
      <c r="M43" t="s">
        <v>104</v>
      </c>
      <c r="N43" s="3">
        <v>45352</v>
      </c>
      <c r="O43">
        <v>42</v>
      </c>
      <c r="P43">
        <v>59</v>
      </c>
      <c r="Q43">
        <v>-17</v>
      </c>
      <c r="R43" t="s">
        <v>105</v>
      </c>
    </row>
    <row r="44" spans="1:18">
      <c r="A44" t="s">
        <v>60</v>
      </c>
      <c r="B44" s="3">
        <v>45322</v>
      </c>
      <c r="C44">
        <v>35</v>
      </c>
      <c r="D44">
        <v>36.4</v>
      </c>
      <c r="E44">
        <v>34.35</v>
      </c>
      <c r="F44">
        <v>34.66</v>
      </c>
      <c r="G44">
        <v>36.31</v>
      </c>
      <c r="H44">
        <v>-1.65</v>
      </c>
      <c r="I44">
        <v>-4.5442</v>
      </c>
      <c r="J44">
        <v>51605.2</v>
      </c>
      <c r="K44">
        <v>182434.009</v>
      </c>
      <c r="L44" t="s">
        <v>103</v>
      </c>
      <c r="M44" t="s">
        <v>104</v>
      </c>
      <c r="N44" s="3">
        <v>45352</v>
      </c>
      <c r="O44">
        <v>43</v>
      </c>
      <c r="P44">
        <v>59</v>
      </c>
      <c r="Q44">
        <v>-16</v>
      </c>
      <c r="R44" t="s">
        <v>105</v>
      </c>
    </row>
    <row r="45" spans="1:18">
      <c r="A45" t="s">
        <v>60</v>
      </c>
      <c r="B45" s="3">
        <v>45323</v>
      </c>
      <c r="C45">
        <v>34.56</v>
      </c>
      <c r="D45">
        <v>35.1</v>
      </c>
      <c r="E45">
        <v>33.77</v>
      </c>
      <c r="F45">
        <v>34.01</v>
      </c>
      <c r="G45">
        <v>34.66</v>
      </c>
      <c r="H45">
        <v>-0.65</v>
      </c>
      <c r="I45">
        <v>-1.8754</v>
      </c>
      <c r="J45">
        <v>52898.84</v>
      </c>
      <c r="K45">
        <v>181782.699</v>
      </c>
      <c r="L45" t="s">
        <v>103</v>
      </c>
      <c r="M45" t="s">
        <v>104</v>
      </c>
      <c r="N45" s="3">
        <v>45352</v>
      </c>
      <c r="O45">
        <v>44</v>
      </c>
      <c r="P45">
        <v>59</v>
      </c>
      <c r="Q45">
        <v>-15</v>
      </c>
      <c r="R45" t="s">
        <v>105</v>
      </c>
    </row>
    <row r="46" spans="1:18">
      <c r="A46" t="s">
        <v>60</v>
      </c>
      <c r="B46" s="3">
        <v>45324</v>
      </c>
      <c r="C46">
        <v>34.27</v>
      </c>
      <c r="D46">
        <v>34.46</v>
      </c>
      <c r="E46">
        <v>31</v>
      </c>
      <c r="F46">
        <v>32.09</v>
      </c>
      <c r="G46">
        <v>34.01</v>
      </c>
      <c r="H46">
        <v>-1.92</v>
      </c>
      <c r="I46">
        <v>-5.6454</v>
      </c>
      <c r="J46">
        <v>52236.35</v>
      </c>
      <c r="K46">
        <v>170406.961</v>
      </c>
      <c r="L46" t="s">
        <v>103</v>
      </c>
      <c r="M46" t="s">
        <v>104</v>
      </c>
      <c r="N46" s="3">
        <v>45352</v>
      </c>
      <c r="O46">
        <v>45</v>
      </c>
      <c r="P46">
        <v>59</v>
      </c>
      <c r="Q46">
        <v>-14</v>
      </c>
      <c r="R46" t="s">
        <v>105</v>
      </c>
    </row>
    <row r="47" spans="1:18">
      <c r="A47" t="s">
        <v>60</v>
      </c>
      <c r="B47" s="3">
        <v>45327</v>
      </c>
      <c r="C47">
        <v>32</v>
      </c>
      <c r="D47">
        <v>33</v>
      </c>
      <c r="E47">
        <v>29</v>
      </c>
      <c r="F47">
        <v>32.18</v>
      </c>
      <c r="G47">
        <v>32.09</v>
      </c>
      <c r="H47">
        <v>0.09</v>
      </c>
      <c r="I47">
        <v>0.2805</v>
      </c>
      <c r="J47">
        <v>93824.55</v>
      </c>
      <c r="K47">
        <v>289501.669</v>
      </c>
      <c r="L47" t="s">
        <v>103</v>
      </c>
      <c r="M47" t="s">
        <v>104</v>
      </c>
      <c r="N47" s="3">
        <v>45352</v>
      </c>
      <c r="O47">
        <v>46</v>
      </c>
      <c r="P47">
        <v>59</v>
      </c>
      <c r="Q47">
        <v>-13</v>
      </c>
      <c r="R47" t="s">
        <v>105</v>
      </c>
    </row>
    <row r="48" spans="1:18">
      <c r="A48" t="s">
        <v>60</v>
      </c>
      <c r="B48" s="3">
        <v>45328</v>
      </c>
      <c r="C48">
        <v>32.74</v>
      </c>
      <c r="D48">
        <v>33.41</v>
      </c>
      <c r="E48">
        <v>29.67</v>
      </c>
      <c r="F48">
        <v>32.98</v>
      </c>
      <c r="G48">
        <v>32.18</v>
      </c>
      <c r="H48">
        <v>0.8</v>
      </c>
      <c r="I48">
        <v>2.486</v>
      </c>
      <c r="J48">
        <v>89835.85</v>
      </c>
      <c r="K48">
        <v>281656.574</v>
      </c>
      <c r="L48" t="s">
        <v>103</v>
      </c>
      <c r="M48" t="s">
        <v>104</v>
      </c>
      <c r="N48" s="3">
        <v>45352</v>
      </c>
      <c r="O48">
        <v>47</v>
      </c>
      <c r="P48">
        <v>59</v>
      </c>
      <c r="Q48">
        <v>-12</v>
      </c>
      <c r="R48" t="s">
        <v>105</v>
      </c>
    </row>
    <row r="49" spans="1:19">
      <c r="A49" t="s">
        <v>60</v>
      </c>
      <c r="B49" s="3">
        <v>45329</v>
      </c>
      <c r="C49">
        <v>32.98</v>
      </c>
      <c r="D49">
        <v>36.2</v>
      </c>
      <c r="E49">
        <v>32.98</v>
      </c>
      <c r="F49">
        <v>35.85</v>
      </c>
      <c r="G49">
        <v>32.98</v>
      </c>
      <c r="H49">
        <v>2.87</v>
      </c>
      <c r="I49">
        <v>8.7022</v>
      </c>
      <c r="J49">
        <v>99799.73</v>
      </c>
      <c r="K49">
        <v>351338.835</v>
      </c>
      <c r="L49" t="s">
        <v>103</v>
      </c>
      <c r="M49" t="s">
        <v>104</v>
      </c>
      <c r="N49" s="3">
        <v>45352</v>
      </c>
      <c r="O49">
        <v>48</v>
      </c>
      <c r="P49">
        <v>59</v>
      </c>
      <c r="Q49">
        <v>-11</v>
      </c>
      <c r="R49" t="s">
        <v>105</v>
      </c>
    </row>
    <row r="50" spans="1:19">
      <c r="A50" t="s">
        <v>60</v>
      </c>
      <c r="B50" s="3">
        <v>45330</v>
      </c>
      <c r="C50">
        <v>36.02</v>
      </c>
      <c r="D50">
        <v>39.44</v>
      </c>
      <c r="E50">
        <v>36.02</v>
      </c>
      <c r="F50">
        <v>37.01</v>
      </c>
      <c r="G50">
        <v>35.85</v>
      </c>
      <c r="H50">
        <v>1.16</v>
      </c>
      <c r="I50">
        <v>3.2357</v>
      </c>
      <c r="J50">
        <v>94637.94</v>
      </c>
      <c r="K50">
        <v>359103.102</v>
      </c>
      <c r="L50" t="s">
        <v>103</v>
      </c>
      <c r="M50" t="s">
        <v>104</v>
      </c>
      <c r="N50" s="3">
        <v>45352</v>
      </c>
      <c r="O50">
        <v>49</v>
      </c>
      <c r="P50">
        <v>59</v>
      </c>
      <c r="Q50">
        <v>-10</v>
      </c>
      <c r="R50" t="s">
        <v>105</v>
      </c>
    </row>
    <row r="51" spans="1:19">
      <c r="A51" t="s">
        <v>60</v>
      </c>
      <c r="B51" s="3">
        <v>45341</v>
      </c>
      <c r="C51">
        <v>39.99</v>
      </c>
      <c r="D51">
        <v>40.1</v>
      </c>
      <c r="E51">
        <v>37.48</v>
      </c>
      <c r="F51">
        <v>38.67</v>
      </c>
      <c r="G51">
        <v>37.01</v>
      </c>
      <c r="H51">
        <v>1.66</v>
      </c>
      <c r="I51">
        <v>4.4853</v>
      </c>
      <c r="J51">
        <v>99883.83</v>
      </c>
      <c r="K51">
        <v>384793.828</v>
      </c>
      <c r="L51" t="s">
        <v>103</v>
      </c>
      <c r="M51" t="s">
        <v>104</v>
      </c>
      <c r="N51" s="3">
        <v>45352</v>
      </c>
      <c r="O51">
        <v>50</v>
      </c>
      <c r="P51">
        <v>59</v>
      </c>
      <c r="Q51">
        <v>-9</v>
      </c>
      <c r="R51" t="s">
        <v>105</v>
      </c>
    </row>
    <row r="52" spans="1:19">
      <c r="A52" t="s">
        <v>60</v>
      </c>
      <c r="B52" s="3">
        <v>45342</v>
      </c>
      <c r="C52">
        <v>38.7</v>
      </c>
      <c r="D52">
        <v>40.38</v>
      </c>
      <c r="E52">
        <v>37.6</v>
      </c>
      <c r="F52">
        <v>38.46</v>
      </c>
      <c r="G52">
        <v>38.67</v>
      </c>
      <c r="H52">
        <v>-0.21</v>
      </c>
      <c r="I52">
        <v>-0.5431</v>
      </c>
      <c r="J52">
        <v>68580.67</v>
      </c>
      <c r="K52">
        <v>264641.194</v>
      </c>
      <c r="L52" t="s">
        <v>103</v>
      </c>
      <c r="M52" t="s">
        <v>104</v>
      </c>
      <c r="N52" s="3">
        <v>45352</v>
      </c>
      <c r="O52">
        <v>51</v>
      </c>
      <c r="P52">
        <v>59</v>
      </c>
      <c r="Q52">
        <v>-8</v>
      </c>
      <c r="R52" t="s">
        <v>105</v>
      </c>
    </row>
    <row r="53" spans="1:19">
      <c r="A53" t="s">
        <v>60</v>
      </c>
      <c r="B53" s="3">
        <v>45343</v>
      </c>
      <c r="C53">
        <v>38</v>
      </c>
      <c r="D53">
        <v>39</v>
      </c>
      <c r="E53">
        <v>37.08</v>
      </c>
      <c r="F53">
        <v>37.68</v>
      </c>
      <c r="G53">
        <v>38.46</v>
      </c>
      <c r="H53">
        <v>-0.78</v>
      </c>
      <c r="I53">
        <v>-2.0281</v>
      </c>
      <c r="J53">
        <v>83348.61</v>
      </c>
      <c r="K53">
        <v>317007.236</v>
      </c>
      <c r="L53" t="s">
        <v>103</v>
      </c>
      <c r="M53" t="s">
        <v>104</v>
      </c>
      <c r="N53" s="3">
        <v>45352</v>
      </c>
      <c r="O53">
        <v>52</v>
      </c>
      <c r="P53">
        <v>59</v>
      </c>
      <c r="Q53">
        <v>-7</v>
      </c>
      <c r="R53" t="s">
        <v>105</v>
      </c>
    </row>
    <row r="54" spans="1:19">
      <c r="A54" t="s">
        <v>60</v>
      </c>
      <c r="B54" s="3">
        <v>45344</v>
      </c>
      <c r="C54">
        <v>37.86</v>
      </c>
      <c r="D54">
        <v>39.27</v>
      </c>
      <c r="E54">
        <v>37.67</v>
      </c>
      <c r="F54">
        <v>38.46</v>
      </c>
      <c r="G54">
        <v>37.68</v>
      </c>
      <c r="H54">
        <v>0.78</v>
      </c>
      <c r="I54">
        <v>2.0701</v>
      </c>
      <c r="J54">
        <v>65825.25</v>
      </c>
      <c r="K54">
        <v>252211.732</v>
      </c>
      <c r="L54" t="s">
        <v>103</v>
      </c>
      <c r="M54" t="s">
        <v>104</v>
      </c>
      <c r="N54" s="3">
        <v>45352</v>
      </c>
      <c r="O54">
        <v>53</v>
      </c>
      <c r="P54">
        <v>59</v>
      </c>
      <c r="Q54">
        <v>-6</v>
      </c>
      <c r="R54" t="s">
        <v>105</v>
      </c>
    </row>
    <row r="55" spans="1:19">
      <c r="A55" t="s">
        <v>60</v>
      </c>
      <c r="B55" s="3">
        <v>45345</v>
      </c>
      <c r="C55">
        <v>39</v>
      </c>
      <c r="D55">
        <v>39.51</v>
      </c>
      <c r="E55">
        <v>37.66</v>
      </c>
      <c r="F55">
        <v>38.41</v>
      </c>
      <c r="G55">
        <v>38.46</v>
      </c>
      <c r="H55">
        <v>-0.05</v>
      </c>
      <c r="I55">
        <v>-0.13</v>
      </c>
      <c r="J55">
        <v>61181.95</v>
      </c>
      <c r="K55">
        <v>233782.001</v>
      </c>
      <c r="L55" t="s">
        <v>103</v>
      </c>
      <c r="M55" t="s">
        <v>104</v>
      </c>
      <c r="N55" s="3">
        <v>45352</v>
      </c>
      <c r="O55">
        <v>54</v>
      </c>
      <c r="P55">
        <v>59</v>
      </c>
      <c r="Q55">
        <v>-5</v>
      </c>
      <c r="R55" t="s">
        <v>105</v>
      </c>
    </row>
    <row r="56" spans="1:19">
      <c r="A56" t="s">
        <v>60</v>
      </c>
      <c r="B56" s="3">
        <v>45348</v>
      </c>
      <c r="C56">
        <v>38.18</v>
      </c>
      <c r="D56">
        <v>39.3</v>
      </c>
      <c r="E56">
        <v>37.58</v>
      </c>
      <c r="F56">
        <v>38.62</v>
      </c>
      <c r="G56">
        <v>38.41</v>
      </c>
      <c r="H56">
        <v>0.21</v>
      </c>
      <c r="I56">
        <v>0.5467</v>
      </c>
      <c r="J56">
        <v>81458.96</v>
      </c>
      <c r="K56">
        <v>312345.472</v>
      </c>
      <c r="L56" t="s">
        <v>103</v>
      </c>
      <c r="M56" t="s">
        <v>104</v>
      </c>
      <c r="N56" s="3">
        <v>45352</v>
      </c>
      <c r="O56">
        <v>55</v>
      </c>
      <c r="P56">
        <v>59</v>
      </c>
      <c r="Q56">
        <v>-4</v>
      </c>
      <c r="R56" t="s">
        <v>105</v>
      </c>
    </row>
    <row r="57" spans="1:19">
      <c r="A57" t="s">
        <v>60</v>
      </c>
      <c r="B57" s="3">
        <v>45349</v>
      </c>
      <c r="C57">
        <v>38.53</v>
      </c>
      <c r="D57">
        <v>41.97</v>
      </c>
      <c r="E57">
        <v>37.85</v>
      </c>
      <c r="F57">
        <v>41.65</v>
      </c>
      <c r="G57">
        <v>38.62</v>
      </c>
      <c r="H57">
        <v>3.03</v>
      </c>
      <c r="I57">
        <v>7.8457</v>
      </c>
      <c r="J57">
        <v>107278.28</v>
      </c>
      <c r="K57">
        <v>432211.108</v>
      </c>
      <c r="L57" t="s">
        <v>103</v>
      </c>
      <c r="M57" t="s">
        <v>104</v>
      </c>
      <c r="N57" s="3">
        <v>45352</v>
      </c>
      <c r="O57">
        <v>56</v>
      </c>
      <c r="P57">
        <v>59</v>
      </c>
      <c r="Q57">
        <v>-3</v>
      </c>
      <c r="R57" t="s">
        <v>105</v>
      </c>
    </row>
    <row r="58" spans="1:19">
      <c r="A58" t="s">
        <v>60</v>
      </c>
      <c r="B58" s="3">
        <v>45350</v>
      </c>
      <c r="C58">
        <v>41.12</v>
      </c>
      <c r="D58">
        <v>42.25</v>
      </c>
      <c r="E58">
        <v>37.1</v>
      </c>
      <c r="F58">
        <v>37.1</v>
      </c>
      <c r="G58">
        <v>41.65</v>
      </c>
      <c r="H58">
        <v>-4.55</v>
      </c>
      <c r="I58">
        <v>-10.9244</v>
      </c>
      <c r="J58">
        <v>109646.59</v>
      </c>
      <c r="K58">
        <v>439442.813</v>
      </c>
      <c r="L58" t="s">
        <v>103</v>
      </c>
      <c r="M58" t="s">
        <v>104</v>
      </c>
      <c r="N58" s="3">
        <v>45352</v>
      </c>
      <c r="O58">
        <v>57</v>
      </c>
      <c r="P58">
        <v>59</v>
      </c>
      <c r="Q58">
        <v>-2</v>
      </c>
      <c r="R58" t="s">
        <v>105</v>
      </c>
    </row>
    <row r="59" spans="1:19">
      <c r="A59" t="s">
        <v>60</v>
      </c>
      <c r="B59" s="3">
        <v>45351</v>
      </c>
      <c r="C59">
        <v>36.9</v>
      </c>
      <c r="D59">
        <v>41.02</v>
      </c>
      <c r="E59">
        <v>36.73</v>
      </c>
      <c r="F59">
        <v>40.6</v>
      </c>
      <c r="G59">
        <v>37.1</v>
      </c>
      <c r="H59">
        <v>3.5</v>
      </c>
      <c r="I59">
        <v>9.434</v>
      </c>
      <c r="J59">
        <v>109522.61</v>
      </c>
      <c r="K59">
        <v>429907.834</v>
      </c>
      <c r="L59" t="s">
        <v>103</v>
      </c>
      <c r="M59" t="s">
        <v>104</v>
      </c>
      <c r="N59" s="3">
        <v>45352</v>
      </c>
      <c r="O59">
        <v>58</v>
      </c>
      <c r="P59">
        <v>59</v>
      </c>
      <c r="Q59">
        <v>-1</v>
      </c>
      <c r="R59" t="s">
        <v>105</v>
      </c>
    </row>
    <row r="60" spans="1:19">
      <c r="A60" t="s">
        <v>60</v>
      </c>
      <c r="B60" s="3">
        <v>45352</v>
      </c>
      <c r="C60">
        <v>41.03</v>
      </c>
      <c r="D60">
        <v>42.13</v>
      </c>
      <c r="E60">
        <v>40.03</v>
      </c>
      <c r="F60">
        <v>41.46</v>
      </c>
      <c r="G60">
        <v>40.6</v>
      </c>
      <c r="H60">
        <v>0.86</v>
      </c>
      <c r="I60">
        <v>2.1182</v>
      </c>
      <c r="J60">
        <v>88961.65</v>
      </c>
      <c r="K60">
        <v>365410.501</v>
      </c>
      <c r="L60" t="s">
        <v>103</v>
      </c>
      <c r="M60" t="s">
        <v>104</v>
      </c>
      <c r="N60" s="3">
        <v>45352</v>
      </c>
      <c r="O60">
        <v>59</v>
      </c>
      <c r="P60">
        <v>59</v>
      </c>
      <c r="Q60">
        <v>0</v>
      </c>
      <c r="R60" t="s">
        <v>106</v>
      </c>
      <c r="S60" t="s">
        <v>161</v>
      </c>
    </row>
    <row r="61" spans="1:19">
      <c r="A61" t="s">
        <v>60</v>
      </c>
      <c r="B61" s="3">
        <v>45355</v>
      </c>
      <c r="C61">
        <v>42</v>
      </c>
      <c r="D61">
        <v>42.87</v>
      </c>
      <c r="E61">
        <v>40.45</v>
      </c>
      <c r="F61">
        <v>41.5</v>
      </c>
      <c r="G61">
        <v>41.46</v>
      </c>
      <c r="H61">
        <v>0.04</v>
      </c>
      <c r="I61">
        <v>0.0965</v>
      </c>
      <c r="J61">
        <v>93857.88</v>
      </c>
      <c r="K61">
        <v>390080.419</v>
      </c>
      <c r="L61" t="s">
        <v>103</v>
      </c>
      <c r="M61" t="s">
        <v>104</v>
      </c>
      <c r="N61" s="3">
        <v>45352</v>
      </c>
      <c r="O61">
        <v>60</v>
      </c>
      <c r="P61">
        <v>59</v>
      </c>
      <c r="Q61">
        <v>1</v>
      </c>
      <c r="R61" t="s">
        <v>107</v>
      </c>
    </row>
    <row r="62" spans="1:19">
      <c r="A62" t="s">
        <v>60</v>
      </c>
      <c r="B62" s="3">
        <v>45356</v>
      </c>
      <c r="C62">
        <v>41</v>
      </c>
      <c r="D62">
        <v>41.63</v>
      </c>
      <c r="E62">
        <v>39.8</v>
      </c>
      <c r="F62">
        <v>40.37</v>
      </c>
      <c r="G62">
        <v>41.5</v>
      </c>
      <c r="H62">
        <v>-1.13</v>
      </c>
      <c r="I62">
        <v>-2.7229</v>
      </c>
      <c r="J62">
        <v>85184.78</v>
      </c>
      <c r="K62">
        <v>347297.779</v>
      </c>
      <c r="L62" t="s">
        <v>103</v>
      </c>
      <c r="M62" t="s">
        <v>104</v>
      </c>
      <c r="N62" s="3">
        <v>45352</v>
      </c>
      <c r="O62">
        <v>61</v>
      </c>
      <c r="P62">
        <v>59</v>
      </c>
      <c r="Q62">
        <v>2</v>
      </c>
      <c r="R62" t="s">
        <v>107</v>
      </c>
    </row>
    <row r="63" spans="1:19">
      <c r="A63" t="s">
        <v>60</v>
      </c>
      <c r="B63" s="3">
        <v>45357</v>
      </c>
      <c r="C63">
        <v>39.88</v>
      </c>
      <c r="D63">
        <v>41.29</v>
      </c>
      <c r="E63">
        <v>39.01</v>
      </c>
      <c r="F63">
        <v>40.15</v>
      </c>
      <c r="G63">
        <v>40.37</v>
      </c>
      <c r="H63">
        <v>-0.22</v>
      </c>
      <c r="I63">
        <v>-0.545</v>
      </c>
      <c r="J63">
        <v>65051.15</v>
      </c>
      <c r="K63">
        <v>259947.128</v>
      </c>
      <c r="L63" t="s">
        <v>103</v>
      </c>
      <c r="M63" t="s">
        <v>104</v>
      </c>
      <c r="N63" s="3">
        <v>45352</v>
      </c>
      <c r="O63">
        <v>62</v>
      </c>
      <c r="P63">
        <v>59</v>
      </c>
      <c r="Q63">
        <v>3</v>
      </c>
      <c r="R63" t="s">
        <v>107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62</v>
      </c>
    </row>
    <row r="3" ht="28" spans="1:2">
      <c r="A3" s="5" t="s">
        <v>75</v>
      </c>
      <c r="B3" s="6" t="s">
        <v>63</v>
      </c>
    </row>
    <row r="4" spans="1:2">
      <c r="A4" s="5" t="s">
        <v>2</v>
      </c>
      <c r="B4" s="7">
        <v>45729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45729</v>
      </c>
    </row>
    <row r="9" spans="1:2">
      <c r="A9" s="5" t="s">
        <v>1</v>
      </c>
      <c r="B9">
        <v>43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30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162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62</v>
      </c>
      <c r="B2" s="3">
        <v>45639</v>
      </c>
      <c r="C2">
        <v>74.2</v>
      </c>
      <c r="D2">
        <v>75.79</v>
      </c>
      <c r="E2">
        <v>73.13</v>
      </c>
      <c r="F2">
        <v>73.15</v>
      </c>
      <c r="G2">
        <v>74.67</v>
      </c>
      <c r="H2">
        <v>-1.52</v>
      </c>
      <c r="I2">
        <v>-2.0356</v>
      </c>
      <c r="J2">
        <v>13456.13</v>
      </c>
      <c r="K2">
        <v>100132.339</v>
      </c>
      <c r="L2" t="s">
        <v>103</v>
      </c>
      <c r="M2" t="s">
        <v>104</v>
      </c>
      <c r="N2" s="3">
        <v>45729</v>
      </c>
      <c r="O2">
        <v>1</v>
      </c>
      <c r="P2">
        <v>58</v>
      </c>
      <c r="Q2">
        <v>-57</v>
      </c>
      <c r="R2" t="s">
        <v>105</v>
      </c>
    </row>
    <row r="3" spans="1:19">
      <c r="A3" t="s">
        <v>62</v>
      </c>
      <c r="B3" s="3">
        <v>45642</v>
      </c>
      <c r="C3">
        <v>73.2</v>
      </c>
      <c r="D3">
        <v>73.21</v>
      </c>
      <c r="E3">
        <v>70</v>
      </c>
      <c r="F3">
        <v>71.1</v>
      </c>
      <c r="G3">
        <v>73.15</v>
      </c>
      <c r="H3">
        <v>-2.05</v>
      </c>
      <c r="I3">
        <v>-2.8025</v>
      </c>
      <c r="J3">
        <v>15213.82</v>
      </c>
      <c r="K3">
        <v>108000.378</v>
      </c>
      <c r="L3" t="s">
        <v>103</v>
      </c>
      <c r="M3" t="s">
        <v>104</v>
      </c>
      <c r="N3" s="3">
        <v>45729</v>
      </c>
      <c r="O3">
        <v>2</v>
      </c>
      <c r="P3">
        <v>58</v>
      </c>
      <c r="Q3">
        <v>-56</v>
      </c>
      <c r="R3" t="s">
        <v>105</v>
      </c>
    </row>
    <row r="4" spans="1:19">
      <c r="A4" t="s">
        <v>62</v>
      </c>
      <c r="B4" s="3">
        <v>45643</v>
      </c>
      <c r="C4">
        <v>70.77</v>
      </c>
      <c r="D4">
        <v>72.2</v>
      </c>
      <c r="E4">
        <v>69.66</v>
      </c>
      <c r="F4">
        <v>70.68</v>
      </c>
      <c r="G4">
        <v>71.1</v>
      </c>
      <c r="H4">
        <v>-0.42</v>
      </c>
      <c r="I4">
        <v>-0.5907</v>
      </c>
      <c r="J4">
        <v>13298.86</v>
      </c>
      <c r="K4">
        <v>94109.763</v>
      </c>
      <c r="L4" t="s">
        <v>103</v>
      </c>
      <c r="M4" t="s">
        <v>104</v>
      </c>
      <c r="N4" s="3">
        <v>45729</v>
      </c>
      <c r="O4">
        <v>3</v>
      </c>
      <c r="P4">
        <v>58</v>
      </c>
      <c r="Q4">
        <v>-55</v>
      </c>
      <c r="R4" t="s">
        <v>105</v>
      </c>
    </row>
    <row r="5" spans="1:19">
      <c r="A5" t="s">
        <v>62</v>
      </c>
      <c r="B5" s="3">
        <v>45644</v>
      </c>
      <c r="C5">
        <v>70.82</v>
      </c>
      <c r="D5">
        <v>76.77</v>
      </c>
      <c r="E5">
        <v>69.15</v>
      </c>
      <c r="F5">
        <v>76.5</v>
      </c>
      <c r="G5">
        <v>70.68</v>
      </c>
      <c r="H5">
        <v>5.82</v>
      </c>
      <c r="I5">
        <v>8.2343</v>
      </c>
      <c r="J5">
        <v>22201.96</v>
      </c>
      <c r="K5">
        <v>164453.363</v>
      </c>
      <c r="L5" t="s">
        <v>103</v>
      </c>
      <c r="M5" t="s">
        <v>104</v>
      </c>
      <c r="N5" s="3">
        <v>45729</v>
      </c>
      <c r="O5">
        <v>4</v>
      </c>
      <c r="P5">
        <v>58</v>
      </c>
      <c r="Q5">
        <v>-54</v>
      </c>
      <c r="R5" t="s">
        <v>105</v>
      </c>
    </row>
    <row r="6" spans="1:19">
      <c r="A6" t="s">
        <v>62</v>
      </c>
      <c r="B6" s="3">
        <v>45645</v>
      </c>
      <c r="C6">
        <v>75.19</v>
      </c>
      <c r="D6">
        <v>79.5</v>
      </c>
      <c r="E6">
        <v>74.78</v>
      </c>
      <c r="F6">
        <v>78.77</v>
      </c>
      <c r="G6">
        <v>76.5</v>
      </c>
      <c r="H6">
        <v>2.27</v>
      </c>
      <c r="I6">
        <v>2.9673</v>
      </c>
      <c r="J6">
        <v>18862.9</v>
      </c>
      <c r="K6">
        <v>147113.621</v>
      </c>
      <c r="L6" t="s">
        <v>103</v>
      </c>
      <c r="M6" t="s">
        <v>104</v>
      </c>
      <c r="N6" s="3">
        <v>45729</v>
      </c>
      <c r="O6">
        <v>5</v>
      </c>
      <c r="P6">
        <v>58</v>
      </c>
      <c r="Q6">
        <v>-53</v>
      </c>
      <c r="R6" t="s">
        <v>105</v>
      </c>
    </row>
    <row r="7" spans="1:19">
      <c r="A7" t="s">
        <v>62</v>
      </c>
      <c r="B7" s="3">
        <v>45646</v>
      </c>
      <c r="C7">
        <v>78.39</v>
      </c>
      <c r="D7">
        <v>85</v>
      </c>
      <c r="E7">
        <v>77.12</v>
      </c>
      <c r="F7">
        <v>84</v>
      </c>
      <c r="G7">
        <v>78.77</v>
      </c>
      <c r="H7">
        <v>5.23</v>
      </c>
      <c r="I7">
        <v>6.6396</v>
      </c>
      <c r="J7">
        <v>30965.81</v>
      </c>
      <c r="K7">
        <v>255733.212</v>
      </c>
      <c r="L7" t="s">
        <v>103</v>
      </c>
      <c r="M7" t="s">
        <v>104</v>
      </c>
      <c r="N7" s="3">
        <v>45729</v>
      </c>
      <c r="O7">
        <v>6</v>
      </c>
      <c r="P7">
        <v>58</v>
      </c>
      <c r="Q7">
        <v>-52</v>
      </c>
      <c r="R7" t="s">
        <v>105</v>
      </c>
    </row>
    <row r="8" spans="1:19">
      <c r="A8" t="s">
        <v>62</v>
      </c>
      <c r="B8" s="3">
        <v>45649</v>
      </c>
      <c r="C8">
        <v>83.85</v>
      </c>
      <c r="D8">
        <v>86.66</v>
      </c>
      <c r="E8">
        <v>77.5</v>
      </c>
      <c r="F8">
        <v>77.9</v>
      </c>
      <c r="G8">
        <v>84</v>
      </c>
      <c r="H8">
        <v>-6.1</v>
      </c>
      <c r="I8">
        <v>-7.2619</v>
      </c>
      <c r="J8">
        <v>25608.72</v>
      </c>
      <c r="K8">
        <v>209543.467</v>
      </c>
      <c r="L8" t="s">
        <v>103</v>
      </c>
      <c r="M8" t="s">
        <v>104</v>
      </c>
      <c r="N8" s="3">
        <v>45729</v>
      </c>
      <c r="O8">
        <v>7</v>
      </c>
      <c r="P8">
        <v>58</v>
      </c>
      <c r="Q8">
        <v>-51</v>
      </c>
      <c r="R8" t="s">
        <v>105</v>
      </c>
    </row>
    <row r="9" spans="1:19">
      <c r="A9" t="s">
        <v>62</v>
      </c>
      <c r="B9" s="3">
        <v>45650</v>
      </c>
      <c r="C9">
        <v>78.56</v>
      </c>
      <c r="D9">
        <v>81.7</v>
      </c>
      <c r="E9">
        <v>77</v>
      </c>
      <c r="F9">
        <v>80.3</v>
      </c>
      <c r="G9">
        <v>77.9</v>
      </c>
      <c r="H9">
        <v>2.4</v>
      </c>
      <c r="I9">
        <v>3.0809</v>
      </c>
      <c r="J9">
        <v>17467.85</v>
      </c>
      <c r="K9">
        <v>139167.626</v>
      </c>
      <c r="L9" t="s">
        <v>103</v>
      </c>
      <c r="M9" t="s">
        <v>104</v>
      </c>
      <c r="N9" s="3">
        <v>45729</v>
      </c>
      <c r="O9">
        <v>8</v>
      </c>
      <c r="P9">
        <v>58</v>
      </c>
      <c r="Q9">
        <v>-50</v>
      </c>
      <c r="R9" t="s">
        <v>105</v>
      </c>
    </row>
    <row r="10" spans="1:19">
      <c r="A10" t="s">
        <v>62</v>
      </c>
      <c r="B10" s="3">
        <v>45651</v>
      </c>
      <c r="C10">
        <v>79.58</v>
      </c>
      <c r="D10">
        <v>83.17</v>
      </c>
      <c r="E10">
        <v>77</v>
      </c>
      <c r="F10">
        <v>82</v>
      </c>
      <c r="G10">
        <v>80.3</v>
      </c>
      <c r="H10">
        <v>1.7</v>
      </c>
      <c r="I10">
        <v>2.1171</v>
      </c>
      <c r="J10">
        <v>22596.16</v>
      </c>
      <c r="K10">
        <v>181037.367</v>
      </c>
      <c r="L10" t="s">
        <v>103</v>
      </c>
      <c r="M10" t="s">
        <v>104</v>
      </c>
      <c r="N10" s="3">
        <v>45729</v>
      </c>
      <c r="O10">
        <v>9</v>
      </c>
      <c r="P10">
        <v>58</v>
      </c>
      <c r="Q10">
        <v>-49</v>
      </c>
      <c r="R10" t="s">
        <v>105</v>
      </c>
    </row>
    <row r="11" spans="1:19">
      <c r="A11" t="s">
        <v>62</v>
      </c>
      <c r="B11" s="3">
        <v>45652</v>
      </c>
      <c r="C11">
        <v>80.87</v>
      </c>
      <c r="D11">
        <v>85.2</v>
      </c>
      <c r="E11">
        <v>79.4</v>
      </c>
      <c r="F11">
        <v>82.16</v>
      </c>
      <c r="G11">
        <v>82</v>
      </c>
      <c r="H11">
        <v>0.16</v>
      </c>
      <c r="I11">
        <v>0.1951</v>
      </c>
      <c r="J11">
        <v>25027.2</v>
      </c>
      <c r="K11">
        <v>206181.684</v>
      </c>
      <c r="L11" t="s">
        <v>103</v>
      </c>
      <c r="M11" t="s">
        <v>104</v>
      </c>
      <c r="N11" s="3">
        <v>45729</v>
      </c>
      <c r="O11">
        <v>10</v>
      </c>
      <c r="P11">
        <v>58</v>
      </c>
      <c r="Q11">
        <v>-48</v>
      </c>
      <c r="R11" t="s">
        <v>105</v>
      </c>
    </row>
    <row r="12" spans="1:19">
      <c r="A12" t="s">
        <v>62</v>
      </c>
      <c r="B12" s="3">
        <v>45653</v>
      </c>
      <c r="C12">
        <v>82.49</v>
      </c>
      <c r="D12">
        <v>82.49</v>
      </c>
      <c r="E12">
        <v>76.71</v>
      </c>
      <c r="F12">
        <v>79.27</v>
      </c>
      <c r="G12">
        <v>82.16</v>
      </c>
      <c r="H12">
        <v>-2.89</v>
      </c>
      <c r="I12">
        <v>-3.5175</v>
      </c>
      <c r="J12">
        <v>21627.87</v>
      </c>
      <c r="K12">
        <v>171117.369</v>
      </c>
      <c r="L12" t="s">
        <v>103</v>
      </c>
      <c r="M12" t="s">
        <v>104</v>
      </c>
      <c r="N12" s="3">
        <v>45729</v>
      </c>
      <c r="O12">
        <v>11</v>
      </c>
      <c r="P12">
        <v>58</v>
      </c>
      <c r="Q12">
        <v>-47</v>
      </c>
      <c r="R12" t="s">
        <v>105</v>
      </c>
    </row>
    <row r="13" spans="1:19">
      <c r="A13" t="s">
        <v>62</v>
      </c>
      <c r="B13" s="3">
        <v>45656</v>
      </c>
      <c r="C13">
        <v>78.86</v>
      </c>
      <c r="D13">
        <v>79.68</v>
      </c>
      <c r="E13">
        <v>76.58</v>
      </c>
      <c r="F13">
        <v>76.82</v>
      </c>
      <c r="G13">
        <v>79.27</v>
      </c>
      <c r="H13">
        <v>-2.45</v>
      </c>
      <c r="I13">
        <v>-3.0907</v>
      </c>
      <c r="J13">
        <v>11697.45</v>
      </c>
      <c r="K13">
        <v>91094.302</v>
      </c>
      <c r="L13" t="s">
        <v>103</v>
      </c>
      <c r="M13" t="s">
        <v>104</v>
      </c>
      <c r="N13" s="3">
        <v>45729</v>
      </c>
      <c r="O13">
        <v>12</v>
      </c>
      <c r="P13">
        <v>58</v>
      </c>
      <c r="Q13">
        <v>-46</v>
      </c>
      <c r="R13" t="s">
        <v>105</v>
      </c>
    </row>
    <row r="14" spans="1:19">
      <c r="A14" t="s">
        <v>62</v>
      </c>
      <c r="B14" s="3">
        <v>45657</v>
      </c>
      <c r="C14">
        <v>76.82</v>
      </c>
      <c r="D14">
        <v>77.18</v>
      </c>
      <c r="E14">
        <v>72.88</v>
      </c>
      <c r="F14">
        <v>72.91</v>
      </c>
      <c r="G14">
        <v>76.82</v>
      </c>
      <c r="H14">
        <v>-3.91</v>
      </c>
      <c r="I14">
        <v>-5.0898</v>
      </c>
      <c r="J14">
        <v>13507.26</v>
      </c>
      <c r="K14">
        <v>100954.444</v>
      </c>
      <c r="L14" t="s">
        <v>103</v>
      </c>
      <c r="M14" t="s">
        <v>104</v>
      </c>
      <c r="N14" s="3">
        <v>45729</v>
      </c>
      <c r="O14">
        <v>13</v>
      </c>
      <c r="P14">
        <v>58</v>
      </c>
      <c r="Q14">
        <v>-45</v>
      </c>
      <c r="R14" t="s">
        <v>105</v>
      </c>
    </row>
    <row r="15" spans="1:19">
      <c r="A15" t="s">
        <v>62</v>
      </c>
      <c r="B15" s="3">
        <v>45659</v>
      </c>
      <c r="C15">
        <v>72.91</v>
      </c>
      <c r="D15">
        <v>72.91</v>
      </c>
      <c r="E15">
        <v>69.2</v>
      </c>
      <c r="F15">
        <v>69.65</v>
      </c>
      <c r="G15">
        <v>72.91</v>
      </c>
      <c r="H15">
        <v>-3.26</v>
      </c>
      <c r="I15">
        <v>-4.4713</v>
      </c>
      <c r="J15">
        <v>15654.82</v>
      </c>
      <c r="K15">
        <v>110075.432</v>
      </c>
      <c r="L15" t="s">
        <v>103</v>
      </c>
      <c r="M15" t="s">
        <v>104</v>
      </c>
      <c r="N15" s="3">
        <v>45729</v>
      </c>
      <c r="O15">
        <v>14</v>
      </c>
      <c r="P15">
        <v>58</v>
      </c>
      <c r="Q15">
        <v>-44</v>
      </c>
      <c r="R15" t="s">
        <v>105</v>
      </c>
    </row>
    <row r="16" spans="1:19">
      <c r="A16" t="s">
        <v>62</v>
      </c>
      <c r="B16" s="3">
        <v>45660</v>
      </c>
      <c r="C16">
        <v>69.73</v>
      </c>
      <c r="D16">
        <v>69.73</v>
      </c>
      <c r="E16">
        <v>63.82</v>
      </c>
      <c r="F16">
        <v>64.58</v>
      </c>
      <c r="G16">
        <v>69.65</v>
      </c>
      <c r="H16">
        <v>-5.07</v>
      </c>
      <c r="I16">
        <v>-7.2793</v>
      </c>
      <c r="J16">
        <v>13307.54</v>
      </c>
      <c r="K16">
        <v>89211.502</v>
      </c>
      <c r="L16" t="s">
        <v>103</v>
      </c>
      <c r="M16" t="s">
        <v>104</v>
      </c>
      <c r="N16" s="3">
        <v>45729</v>
      </c>
      <c r="O16">
        <v>15</v>
      </c>
      <c r="P16">
        <v>58</v>
      </c>
      <c r="Q16">
        <v>-43</v>
      </c>
      <c r="R16" t="s">
        <v>105</v>
      </c>
    </row>
    <row r="17" spans="1:18">
      <c r="A17" t="s">
        <v>62</v>
      </c>
      <c r="B17" s="3">
        <v>45663</v>
      </c>
      <c r="C17">
        <v>67.1</v>
      </c>
      <c r="D17">
        <v>68.86</v>
      </c>
      <c r="E17">
        <v>64.06</v>
      </c>
      <c r="F17">
        <v>67.42</v>
      </c>
      <c r="G17">
        <v>64.58</v>
      </c>
      <c r="H17">
        <v>2.84</v>
      </c>
      <c r="I17">
        <v>4.3976</v>
      </c>
      <c r="J17">
        <v>25466.82</v>
      </c>
      <c r="K17">
        <v>171326.628</v>
      </c>
      <c r="L17" t="s">
        <v>103</v>
      </c>
      <c r="M17" t="s">
        <v>104</v>
      </c>
      <c r="N17" s="3">
        <v>45729</v>
      </c>
      <c r="O17">
        <v>16</v>
      </c>
      <c r="P17">
        <v>58</v>
      </c>
      <c r="Q17">
        <v>-42</v>
      </c>
      <c r="R17" t="s">
        <v>105</v>
      </c>
    </row>
    <row r="18" spans="1:18">
      <c r="A18" t="s">
        <v>62</v>
      </c>
      <c r="B18" s="3">
        <v>45664</v>
      </c>
      <c r="C18">
        <v>68</v>
      </c>
      <c r="D18">
        <v>71.75</v>
      </c>
      <c r="E18">
        <v>66.99</v>
      </c>
      <c r="F18">
        <v>71.63</v>
      </c>
      <c r="G18">
        <v>67.42</v>
      </c>
      <c r="H18">
        <v>4.21</v>
      </c>
      <c r="I18">
        <v>6.2444</v>
      </c>
      <c r="J18">
        <v>18141.34</v>
      </c>
      <c r="K18">
        <v>124967.774</v>
      </c>
      <c r="L18" t="s">
        <v>103</v>
      </c>
      <c r="M18" t="s">
        <v>104</v>
      </c>
      <c r="N18" s="3">
        <v>45729</v>
      </c>
      <c r="O18">
        <v>17</v>
      </c>
      <c r="P18">
        <v>58</v>
      </c>
      <c r="Q18">
        <v>-41</v>
      </c>
      <c r="R18" t="s">
        <v>105</v>
      </c>
    </row>
    <row r="19" spans="1:18">
      <c r="A19" t="s">
        <v>62</v>
      </c>
      <c r="B19" s="3">
        <v>45665</v>
      </c>
      <c r="C19">
        <v>70</v>
      </c>
      <c r="D19">
        <v>72.27</v>
      </c>
      <c r="E19">
        <v>67.42</v>
      </c>
      <c r="F19">
        <v>69.7</v>
      </c>
      <c r="G19">
        <v>71.63</v>
      </c>
      <c r="H19">
        <v>-1.93</v>
      </c>
      <c r="I19">
        <v>-2.6944</v>
      </c>
      <c r="J19">
        <v>13519.84</v>
      </c>
      <c r="K19">
        <v>94058.475</v>
      </c>
      <c r="L19" t="s">
        <v>103</v>
      </c>
      <c r="M19" t="s">
        <v>104</v>
      </c>
      <c r="N19" s="3">
        <v>45729</v>
      </c>
      <c r="O19">
        <v>18</v>
      </c>
      <c r="P19">
        <v>58</v>
      </c>
      <c r="Q19">
        <v>-40</v>
      </c>
      <c r="R19" t="s">
        <v>105</v>
      </c>
    </row>
    <row r="20" spans="1:18">
      <c r="A20" t="s">
        <v>62</v>
      </c>
      <c r="B20" s="3">
        <v>45666</v>
      </c>
      <c r="C20">
        <v>69.13</v>
      </c>
      <c r="D20">
        <v>72.8</v>
      </c>
      <c r="E20">
        <v>69.13</v>
      </c>
      <c r="F20">
        <v>70.21</v>
      </c>
      <c r="G20">
        <v>69.7</v>
      </c>
      <c r="H20">
        <v>0.51</v>
      </c>
      <c r="I20">
        <v>0.7317</v>
      </c>
      <c r="J20">
        <v>13098.76</v>
      </c>
      <c r="K20">
        <v>92813.319</v>
      </c>
      <c r="L20" t="s">
        <v>103</v>
      </c>
      <c r="M20" t="s">
        <v>104</v>
      </c>
      <c r="N20" s="3">
        <v>45729</v>
      </c>
      <c r="O20">
        <v>19</v>
      </c>
      <c r="P20">
        <v>58</v>
      </c>
      <c r="Q20">
        <v>-39</v>
      </c>
      <c r="R20" t="s">
        <v>105</v>
      </c>
    </row>
    <row r="21" spans="1:18">
      <c r="A21" t="s">
        <v>62</v>
      </c>
      <c r="B21" s="3">
        <v>45667</v>
      </c>
      <c r="C21">
        <v>71.51</v>
      </c>
      <c r="D21">
        <v>75.55</v>
      </c>
      <c r="E21">
        <v>69.4</v>
      </c>
      <c r="F21">
        <v>73.43</v>
      </c>
      <c r="G21">
        <v>70.21</v>
      </c>
      <c r="H21">
        <v>3.22</v>
      </c>
      <c r="I21">
        <v>4.5862</v>
      </c>
      <c r="J21">
        <v>21582.06</v>
      </c>
      <c r="K21">
        <v>159066.545</v>
      </c>
      <c r="L21" t="s">
        <v>103</v>
      </c>
      <c r="M21" t="s">
        <v>104</v>
      </c>
      <c r="N21" s="3">
        <v>45729</v>
      </c>
      <c r="O21">
        <v>20</v>
      </c>
      <c r="P21">
        <v>58</v>
      </c>
      <c r="Q21">
        <v>-38</v>
      </c>
      <c r="R21" t="s">
        <v>105</v>
      </c>
    </row>
    <row r="22" spans="1:18">
      <c r="A22" t="s">
        <v>62</v>
      </c>
      <c r="B22" s="3">
        <v>45670</v>
      </c>
      <c r="C22">
        <v>72</v>
      </c>
      <c r="D22">
        <v>75.38</v>
      </c>
      <c r="E22">
        <v>71.61</v>
      </c>
      <c r="F22">
        <v>74.61</v>
      </c>
      <c r="G22">
        <v>73.43</v>
      </c>
      <c r="H22">
        <v>1.18</v>
      </c>
      <c r="I22">
        <v>1.607</v>
      </c>
      <c r="J22">
        <v>10688.1</v>
      </c>
      <c r="K22">
        <v>79106.21</v>
      </c>
      <c r="L22" t="s">
        <v>103</v>
      </c>
      <c r="M22" t="s">
        <v>104</v>
      </c>
      <c r="N22" s="3">
        <v>45729</v>
      </c>
      <c r="O22">
        <v>21</v>
      </c>
      <c r="P22">
        <v>58</v>
      </c>
      <c r="Q22">
        <v>-37</v>
      </c>
      <c r="R22" t="s">
        <v>105</v>
      </c>
    </row>
    <row r="23" spans="1:18">
      <c r="A23" t="s">
        <v>62</v>
      </c>
      <c r="B23" s="3">
        <v>45671</v>
      </c>
      <c r="C23">
        <v>75.03</v>
      </c>
      <c r="D23">
        <v>80.71</v>
      </c>
      <c r="E23">
        <v>74.4</v>
      </c>
      <c r="F23">
        <v>78.83</v>
      </c>
      <c r="G23">
        <v>74.61</v>
      </c>
      <c r="H23">
        <v>4.22</v>
      </c>
      <c r="I23">
        <v>5.6561</v>
      </c>
      <c r="J23">
        <v>18700.06</v>
      </c>
      <c r="K23">
        <v>145840.269</v>
      </c>
      <c r="L23" t="s">
        <v>103</v>
      </c>
      <c r="M23" t="s">
        <v>104</v>
      </c>
      <c r="N23" s="3">
        <v>45729</v>
      </c>
      <c r="O23">
        <v>22</v>
      </c>
      <c r="P23">
        <v>58</v>
      </c>
      <c r="Q23">
        <v>-36</v>
      </c>
      <c r="R23" t="s">
        <v>105</v>
      </c>
    </row>
    <row r="24" spans="1:18">
      <c r="A24" t="s">
        <v>62</v>
      </c>
      <c r="B24" s="3">
        <v>45672</v>
      </c>
      <c r="C24">
        <v>78.8</v>
      </c>
      <c r="D24">
        <v>79.43</v>
      </c>
      <c r="E24">
        <v>77.35</v>
      </c>
      <c r="F24">
        <v>77.9</v>
      </c>
      <c r="G24">
        <v>78.83</v>
      </c>
      <c r="H24">
        <v>-0.93</v>
      </c>
      <c r="I24">
        <v>-1.1798</v>
      </c>
      <c r="J24">
        <v>12168.45</v>
      </c>
      <c r="K24">
        <v>95339.71</v>
      </c>
      <c r="L24" t="s">
        <v>103</v>
      </c>
      <c r="M24" t="s">
        <v>104</v>
      </c>
      <c r="N24" s="3">
        <v>45729</v>
      </c>
      <c r="O24">
        <v>23</v>
      </c>
      <c r="P24">
        <v>58</v>
      </c>
      <c r="Q24">
        <v>-35</v>
      </c>
      <c r="R24" t="s">
        <v>105</v>
      </c>
    </row>
    <row r="25" spans="1:18">
      <c r="A25" t="s">
        <v>62</v>
      </c>
      <c r="B25" s="3">
        <v>45673</v>
      </c>
      <c r="C25">
        <v>78.31</v>
      </c>
      <c r="D25">
        <v>80.87</v>
      </c>
      <c r="E25">
        <v>78</v>
      </c>
      <c r="F25">
        <v>78.49</v>
      </c>
      <c r="G25">
        <v>77.9</v>
      </c>
      <c r="H25">
        <v>0.59</v>
      </c>
      <c r="I25">
        <v>0.7574</v>
      </c>
      <c r="J25">
        <v>9824.92</v>
      </c>
      <c r="K25">
        <v>77791.41</v>
      </c>
      <c r="L25" t="s">
        <v>103</v>
      </c>
      <c r="M25" t="s">
        <v>104</v>
      </c>
      <c r="N25" s="3">
        <v>45729</v>
      </c>
      <c r="O25">
        <v>24</v>
      </c>
      <c r="P25">
        <v>58</v>
      </c>
      <c r="Q25">
        <v>-34</v>
      </c>
      <c r="R25" t="s">
        <v>105</v>
      </c>
    </row>
    <row r="26" spans="1:18">
      <c r="A26" t="s">
        <v>62</v>
      </c>
      <c r="B26" s="3">
        <v>45674</v>
      </c>
      <c r="C26">
        <v>78</v>
      </c>
      <c r="D26">
        <v>80.78</v>
      </c>
      <c r="E26">
        <v>77.27</v>
      </c>
      <c r="F26">
        <v>79.44</v>
      </c>
      <c r="G26">
        <v>78.49</v>
      </c>
      <c r="H26">
        <v>0.95</v>
      </c>
      <c r="I26">
        <v>1.2103</v>
      </c>
      <c r="J26">
        <v>10740.69</v>
      </c>
      <c r="K26">
        <v>85375.498</v>
      </c>
      <c r="L26" t="s">
        <v>103</v>
      </c>
      <c r="M26" t="s">
        <v>104</v>
      </c>
      <c r="N26" s="3">
        <v>45729</v>
      </c>
      <c r="O26">
        <v>25</v>
      </c>
      <c r="P26">
        <v>58</v>
      </c>
      <c r="Q26">
        <v>-33</v>
      </c>
      <c r="R26" t="s">
        <v>105</v>
      </c>
    </row>
    <row r="27" spans="1:18">
      <c r="A27" t="s">
        <v>62</v>
      </c>
      <c r="B27" s="3">
        <v>45677</v>
      </c>
      <c r="C27">
        <v>81</v>
      </c>
      <c r="D27">
        <v>81.66</v>
      </c>
      <c r="E27">
        <v>73</v>
      </c>
      <c r="F27">
        <v>76.29</v>
      </c>
      <c r="G27">
        <v>79.44</v>
      </c>
      <c r="H27">
        <v>-3.15</v>
      </c>
      <c r="I27">
        <v>-3.9653</v>
      </c>
      <c r="J27">
        <v>27050.9</v>
      </c>
      <c r="K27">
        <v>204713.131</v>
      </c>
      <c r="L27" t="s">
        <v>103</v>
      </c>
      <c r="M27" t="s">
        <v>104</v>
      </c>
      <c r="N27" s="3">
        <v>45729</v>
      </c>
      <c r="O27">
        <v>26</v>
      </c>
      <c r="P27">
        <v>58</v>
      </c>
      <c r="Q27">
        <v>-32</v>
      </c>
      <c r="R27" t="s">
        <v>105</v>
      </c>
    </row>
    <row r="28" spans="1:18">
      <c r="A28" t="s">
        <v>62</v>
      </c>
      <c r="B28" s="3">
        <v>45678</v>
      </c>
      <c r="C28">
        <v>75.69</v>
      </c>
      <c r="D28">
        <v>75.69</v>
      </c>
      <c r="E28">
        <v>72.15</v>
      </c>
      <c r="F28">
        <v>74.9</v>
      </c>
      <c r="G28">
        <v>76.29</v>
      </c>
      <c r="H28">
        <v>-1.39</v>
      </c>
      <c r="I28">
        <v>-1.822</v>
      </c>
      <c r="J28">
        <v>19076.86</v>
      </c>
      <c r="K28">
        <v>140627.413</v>
      </c>
      <c r="L28" t="s">
        <v>103</v>
      </c>
      <c r="M28" t="s">
        <v>104</v>
      </c>
      <c r="N28" s="3">
        <v>45729</v>
      </c>
      <c r="O28">
        <v>27</v>
      </c>
      <c r="P28">
        <v>58</v>
      </c>
      <c r="Q28">
        <v>-31</v>
      </c>
      <c r="R28" t="s">
        <v>105</v>
      </c>
    </row>
    <row r="29" spans="1:18">
      <c r="A29" t="s">
        <v>62</v>
      </c>
      <c r="B29" s="3">
        <v>45679</v>
      </c>
      <c r="C29">
        <v>73.88</v>
      </c>
      <c r="D29">
        <v>75.46</v>
      </c>
      <c r="E29">
        <v>73.04</v>
      </c>
      <c r="F29">
        <v>74</v>
      </c>
      <c r="G29">
        <v>74.9</v>
      </c>
      <c r="H29">
        <v>-0.9</v>
      </c>
      <c r="I29">
        <v>-1.2016</v>
      </c>
      <c r="J29">
        <v>10735.92</v>
      </c>
      <c r="K29">
        <v>79398.51</v>
      </c>
      <c r="L29" t="s">
        <v>103</v>
      </c>
      <c r="M29" t="s">
        <v>104</v>
      </c>
      <c r="N29" s="3">
        <v>45729</v>
      </c>
      <c r="O29">
        <v>28</v>
      </c>
      <c r="P29">
        <v>58</v>
      </c>
      <c r="Q29">
        <v>-30</v>
      </c>
      <c r="R29" t="s">
        <v>105</v>
      </c>
    </row>
    <row r="30" spans="1:18">
      <c r="A30" t="s">
        <v>62</v>
      </c>
      <c r="B30" s="3">
        <v>45680</v>
      </c>
      <c r="C30">
        <v>74</v>
      </c>
      <c r="D30">
        <v>75.57</v>
      </c>
      <c r="E30">
        <v>70.73</v>
      </c>
      <c r="F30">
        <v>71.85</v>
      </c>
      <c r="G30">
        <v>74</v>
      </c>
      <c r="H30">
        <v>-2.15</v>
      </c>
      <c r="I30">
        <v>-2.9054</v>
      </c>
      <c r="J30">
        <v>16967.59</v>
      </c>
      <c r="K30">
        <v>123054.883</v>
      </c>
      <c r="L30" t="s">
        <v>103</v>
      </c>
      <c r="M30" t="s">
        <v>104</v>
      </c>
      <c r="N30" s="3">
        <v>45729</v>
      </c>
      <c r="O30">
        <v>29</v>
      </c>
      <c r="P30">
        <v>58</v>
      </c>
      <c r="Q30">
        <v>-29</v>
      </c>
      <c r="R30" t="s">
        <v>105</v>
      </c>
    </row>
    <row r="31" spans="1:18">
      <c r="A31" t="s">
        <v>62</v>
      </c>
      <c r="B31" s="3">
        <v>45681</v>
      </c>
      <c r="C31">
        <v>71.27</v>
      </c>
      <c r="D31">
        <v>73.19</v>
      </c>
      <c r="E31">
        <v>71.01</v>
      </c>
      <c r="F31">
        <v>72.41</v>
      </c>
      <c r="G31">
        <v>71.85</v>
      </c>
      <c r="H31">
        <v>0.56</v>
      </c>
      <c r="I31">
        <v>0.7794</v>
      </c>
      <c r="J31">
        <v>11189.24</v>
      </c>
      <c r="K31">
        <v>81035.713</v>
      </c>
      <c r="L31" t="s">
        <v>103</v>
      </c>
      <c r="M31" t="s">
        <v>104</v>
      </c>
      <c r="N31" s="3">
        <v>45729</v>
      </c>
      <c r="O31">
        <v>30</v>
      </c>
      <c r="P31">
        <v>58</v>
      </c>
      <c r="Q31">
        <v>-28</v>
      </c>
      <c r="R31" t="s">
        <v>105</v>
      </c>
    </row>
    <row r="32" spans="1:18">
      <c r="A32" t="s">
        <v>62</v>
      </c>
      <c r="B32" s="3">
        <v>45684</v>
      </c>
      <c r="C32">
        <v>72.89</v>
      </c>
      <c r="D32">
        <v>72.89</v>
      </c>
      <c r="E32">
        <v>70.25</v>
      </c>
      <c r="F32">
        <v>70.87</v>
      </c>
      <c r="G32">
        <v>72.41</v>
      </c>
      <c r="H32">
        <v>-1.54</v>
      </c>
      <c r="I32">
        <v>-2.1268</v>
      </c>
      <c r="J32">
        <v>7563.12</v>
      </c>
      <c r="K32">
        <v>54088.846</v>
      </c>
      <c r="L32" t="s">
        <v>103</v>
      </c>
      <c r="M32" t="s">
        <v>104</v>
      </c>
      <c r="N32" s="3">
        <v>45729</v>
      </c>
      <c r="O32">
        <v>31</v>
      </c>
      <c r="P32">
        <v>58</v>
      </c>
      <c r="Q32">
        <v>-27</v>
      </c>
      <c r="R32" t="s">
        <v>105</v>
      </c>
    </row>
    <row r="33" spans="1:18">
      <c r="A33" t="s">
        <v>62</v>
      </c>
      <c r="B33" s="3">
        <v>45693</v>
      </c>
      <c r="C33">
        <v>72</v>
      </c>
      <c r="D33">
        <v>75.5</v>
      </c>
      <c r="E33">
        <v>71.12</v>
      </c>
      <c r="F33">
        <v>74.82</v>
      </c>
      <c r="G33">
        <v>70.87</v>
      </c>
      <c r="H33">
        <v>3.95</v>
      </c>
      <c r="I33">
        <v>5.5736</v>
      </c>
      <c r="J33">
        <v>13764.57</v>
      </c>
      <c r="K33">
        <v>101691.969</v>
      </c>
      <c r="L33" t="s">
        <v>103</v>
      </c>
      <c r="M33" t="s">
        <v>104</v>
      </c>
      <c r="N33" s="3">
        <v>45729</v>
      </c>
      <c r="O33">
        <v>32</v>
      </c>
      <c r="P33">
        <v>58</v>
      </c>
      <c r="Q33">
        <v>-26</v>
      </c>
      <c r="R33" t="s">
        <v>105</v>
      </c>
    </row>
    <row r="34" spans="1:18">
      <c r="A34" t="s">
        <v>62</v>
      </c>
      <c r="B34" s="3">
        <v>45694</v>
      </c>
      <c r="C34">
        <v>74.85</v>
      </c>
      <c r="D34">
        <v>80.8</v>
      </c>
      <c r="E34">
        <v>73.98</v>
      </c>
      <c r="F34">
        <v>80.2</v>
      </c>
      <c r="G34">
        <v>74.82</v>
      </c>
      <c r="H34">
        <v>5.38</v>
      </c>
      <c r="I34">
        <v>7.1906</v>
      </c>
      <c r="J34">
        <v>26370.48</v>
      </c>
      <c r="K34">
        <v>208296.302</v>
      </c>
      <c r="L34" t="s">
        <v>103</v>
      </c>
      <c r="M34" t="s">
        <v>104</v>
      </c>
      <c r="N34" s="3">
        <v>45729</v>
      </c>
      <c r="O34">
        <v>33</v>
      </c>
      <c r="P34">
        <v>58</v>
      </c>
      <c r="Q34">
        <v>-25</v>
      </c>
      <c r="R34" t="s">
        <v>105</v>
      </c>
    </row>
    <row r="35" spans="1:18">
      <c r="A35" t="s">
        <v>62</v>
      </c>
      <c r="B35" s="3">
        <v>45695</v>
      </c>
      <c r="C35">
        <v>81.81</v>
      </c>
      <c r="D35">
        <v>87.68</v>
      </c>
      <c r="E35">
        <v>81.81</v>
      </c>
      <c r="F35">
        <v>84.99</v>
      </c>
      <c r="G35">
        <v>80.2</v>
      </c>
      <c r="H35">
        <v>4.79</v>
      </c>
      <c r="I35">
        <v>5.9726</v>
      </c>
      <c r="J35">
        <v>29478.9</v>
      </c>
      <c r="K35">
        <v>249801.827</v>
      </c>
      <c r="L35" t="s">
        <v>103</v>
      </c>
      <c r="M35" t="s">
        <v>104</v>
      </c>
      <c r="N35" s="3">
        <v>45729</v>
      </c>
      <c r="O35">
        <v>34</v>
      </c>
      <c r="P35">
        <v>58</v>
      </c>
      <c r="Q35">
        <v>-24</v>
      </c>
      <c r="R35" t="s">
        <v>105</v>
      </c>
    </row>
    <row r="36" spans="1:18">
      <c r="A36" t="s">
        <v>62</v>
      </c>
      <c r="B36" s="3">
        <v>45698</v>
      </c>
      <c r="C36">
        <v>85.01</v>
      </c>
      <c r="D36">
        <v>93</v>
      </c>
      <c r="E36">
        <v>82.35</v>
      </c>
      <c r="F36">
        <v>90.91</v>
      </c>
      <c r="G36">
        <v>84.99</v>
      </c>
      <c r="H36">
        <v>5.92</v>
      </c>
      <c r="I36">
        <v>6.9655</v>
      </c>
      <c r="J36">
        <v>28136.37</v>
      </c>
      <c r="K36">
        <v>245083.325</v>
      </c>
      <c r="L36" t="s">
        <v>103</v>
      </c>
      <c r="M36" t="s">
        <v>104</v>
      </c>
      <c r="N36" s="3">
        <v>45729</v>
      </c>
      <c r="O36">
        <v>35</v>
      </c>
      <c r="P36">
        <v>58</v>
      </c>
      <c r="Q36">
        <v>-23</v>
      </c>
      <c r="R36" t="s">
        <v>105</v>
      </c>
    </row>
    <row r="37" spans="1:18">
      <c r="A37" t="s">
        <v>62</v>
      </c>
      <c r="B37" s="3">
        <v>45699</v>
      </c>
      <c r="C37">
        <v>92.58</v>
      </c>
      <c r="D37">
        <v>93.5</v>
      </c>
      <c r="E37">
        <v>86.01</v>
      </c>
      <c r="F37">
        <v>86.3</v>
      </c>
      <c r="G37">
        <v>90.91</v>
      </c>
      <c r="H37">
        <v>-4.61</v>
      </c>
      <c r="I37">
        <v>-5.0709</v>
      </c>
      <c r="J37">
        <v>31743.88</v>
      </c>
      <c r="K37">
        <v>283056.597</v>
      </c>
      <c r="L37" t="s">
        <v>103</v>
      </c>
      <c r="M37" t="s">
        <v>104</v>
      </c>
      <c r="N37" s="3">
        <v>45729</v>
      </c>
      <c r="O37">
        <v>36</v>
      </c>
      <c r="P37">
        <v>58</v>
      </c>
      <c r="Q37">
        <v>-22</v>
      </c>
      <c r="R37" t="s">
        <v>105</v>
      </c>
    </row>
    <row r="38" spans="1:18">
      <c r="A38" t="s">
        <v>62</v>
      </c>
      <c r="B38" s="3">
        <v>45700</v>
      </c>
      <c r="C38">
        <v>88.82</v>
      </c>
      <c r="D38">
        <v>88.82</v>
      </c>
      <c r="E38">
        <v>83.08</v>
      </c>
      <c r="F38">
        <v>84.5</v>
      </c>
      <c r="G38">
        <v>86.3</v>
      </c>
      <c r="H38">
        <v>-1.8</v>
      </c>
      <c r="I38">
        <v>-2.0857</v>
      </c>
      <c r="J38">
        <v>24221.06</v>
      </c>
      <c r="K38">
        <v>203752.61</v>
      </c>
      <c r="L38" t="s">
        <v>103</v>
      </c>
      <c r="M38" t="s">
        <v>104</v>
      </c>
      <c r="N38" s="3">
        <v>45729</v>
      </c>
      <c r="O38">
        <v>37</v>
      </c>
      <c r="P38">
        <v>58</v>
      </c>
      <c r="Q38">
        <v>-21</v>
      </c>
      <c r="R38" t="s">
        <v>105</v>
      </c>
    </row>
    <row r="39" spans="1:18">
      <c r="A39" t="s">
        <v>62</v>
      </c>
      <c r="B39" s="3">
        <v>45701</v>
      </c>
      <c r="C39">
        <v>85</v>
      </c>
      <c r="D39">
        <v>85</v>
      </c>
      <c r="E39">
        <v>78.85</v>
      </c>
      <c r="F39">
        <v>79.36</v>
      </c>
      <c r="G39">
        <v>84.5</v>
      </c>
      <c r="H39">
        <v>-5.14</v>
      </c>
      <c r="I39">
        <v>-6.0828</v>
      </c>
      <c r="J39">
        <v>28986.52</v>
      </c>
      <c r="K39">
        <v>233261.657</v>
      </c>
      <c r="L39" t="s">
        <v>103</v>
      </c>
      <c r="M39" t="s">
        <v>104</v>
      </c>
      <c r="N39" s="3">
        <v>45729</v>
      </c>
      <c r="O39">
        <v>38</v>
      </c>
      <c r="P39">
        <v>58</v>
      </c>
      <c r="Q39">
        <v>-20</v>
      </c>
      <c r="R39" t="s">
        <v>105</v>
      </c>
    </row>
    <row r="40" spans="1:18">
      <c r="A40" t="s">
        <v>62</v>
      </c>
      <c r="B40" s="3">
        <v>45702</v>
      </c>
      <c r="C40">
        <v>79</v>
      </c>
      <c r="D40">
        <v>80.2</v>
      </c>
      <c r="E40">
        <v>77.53</v>
      </c>
      <c r="F40">
        <v>79.29</v>
      </c>
      <c r="G40">
        <v>79.36</v>
      </c>
      <c r="H40">
        <v>-0.07</v>
      </c>
      <c r="I40">
        <v>-0.0882</v>
      </c>
      <c r="J40">
        <v>15974.08</v>
      </c>
      <c r="K40">
        <v>126061.299</v>
      </c>
      <c r="L40" t="s">
        <v>103</v>
      </c>
      <c r="M40" t="s">
        <v>104</v>
      </c>
      <c r="N40" s="3">
        <v>45729</v>
      </c>
      <c r="O40">
        <v>39</v>
      </c>
      <c r="P40">
        <v>58</v>
      </c>
      <c r="Q40">
        <v>-19</v>
      </c>
      <c r="R40" t="s">
        <v>105</v>
      </c>
    </row>
    <row r="41" spans="1:18">
      <c r="A41" t="s">
        <v>62</v>
      </c>
      <c r="B41" s="3">
        <v>45705</v>
      </c>
      <c r="C41">
        <v>81.37</v>
      </c>
      <c r="D41">
        <v>82.37</v>
      </c>
      <c r="E41">
        <v>79.51</v>
      </c>
      <c r="F41">
        <v>81.2</v>
      </c>
      <c r="G41">
        <v>79.29</v>
      </c>
      <c r="H41">
        <v>1.91</v>
      </c>
      <c r="I41">
        <v>2.4089</v>
      </c>
      <c r="J41">
        <v>22623.49</v>
      </c>
      <c r="K41">
        <v>184124.846</v>
      </c>
      <c r="L41" t="s">
        <v>103</v>
      </c>
      <c r="M41" t="s">
        <v>104</v>
      </c>
      <c r="N41" s="3">
        <v>45729</v>
      </c>
      <c r="O41">
        <v>40</v>
      </c>
      <c r="P41">
        <v>58</v>
      </c>
      <c r="Q41">
        <v>-18</v>
      </c>
      <c r="R41" t="s">
        <v>105</v>
      </c>
    </row>
    <row r="42" spans="1:18">
      <c r="A42" t="s">
        <v>62</v>
      </c>
      <c r="B42" s="3">
        <v>45706</v>
      </c>
      <c r="C42">
        <v>81.11</v>
      </c>
      <c r="D42">
        <v>84.48</v>
      </c>
      <c r="E42">
        <v>80.5</v>
      </c>
      <c r="F42">
        <v>81.57</v>
      </c>
      <c r="G42">
        <v>81.2</v>
      </c>
      <c r="H42">
        <v>0.37</v>
      </c>
      <c r="I42">
        <v>0.4557</v>
      </c>
      <c r="J42">
        <v>22204.48</v>
      </c>
      <c r="K42">
        <v>183946.883</v>
      </c>
      <c r="L42" t="s">
        <v>103</v>
      </c>
      <c r="M42" t="s">
        <v>104</v>
      </c>
      <c r="N42" s="3">
        <v>45729</v>
      </c>
      <c r="O42">
        <v>41</v>
      </c>
      <c r="P42">
        <v>58</v>
      </c>
      <c r="Q42">
        <v>-17</v>
      </c>
      <c r="R42" t="s">
        <v>105</v>
      </c>
    </row>
    <row r="43" spans="1:18">
      <c r="A43" t="s">
        <v>62</v>
      </c>
      <c r="B43" s="3">
        <v>45707</v>
      </c>
      <c r="C43">
        <v>81.59</v>
      </c>
      <c r="D43">
        <v>84.19</v>
      </c>
      <c r="E43">
        <v>81.3</v>
      </c>
      <c r="F43">
        <v>84.17</v>
      </c>
      <c r="G43">
        <v>81.57</v>
      </c>
      <c r="H43">
        <v>2.6</v>
      </c>
      <c r="I43">
        <v>3.1874</v>
      </c>
      <c r="J43">
        <v>25489.59</v>
      </c>
      <c r="K43">
        <v>212103.198</v>
      </c>
      <c r="L43" t="s">
        <v>103</v>
      </c>
      <c r="M43" t="s">
        <v>104</v>
      </c>
      <c r="N43" s="3">
        <v>45729</v>
      </c>
      <c r="O43">
        <v>42</v>
      </c>
      <c r="P43">
        <v>58</v>
      </c>
      <c r="Q43">
        <v>-16</v>
      </c>
      <c r="R43" t="s">
        <v>105</v>
      </c>
    </row>
    <row r="44" spans="1:18">
      <c r="A44" t="s">
        <v>62</v>
      </c>
      <c r="B44" s="3">
        <v>45708</v>
      </c>
      <c r="C44">
        <v>84</v>
      </c>
      <c r="D44">
        <v>84.17</v>
      </c>
      <c r="E44">
        <v>81.38</v>
      </c>
      <c r="F44">
        <v>81.85</v>
      </c>
      <c r="G44">
        <v>84.17</v>
      </c>
      <c r="H44">
        <v>-2.32</v>
      </c>
      <c r="I44">
        <v>-2.7563</v>
      </c>
      <c r="J44">
        <v>12786.13</v>
      </c>
      <c r="K44">
        <v>105456.71</v>
      </c>
      <c r="L44" t="s">
        <v>103</v>
      </c>
      <c r="M44" t="s">
        <v>104</v>
      </c>
      <c r="N44" s="3">
        <v>45729</v>
      </c>
      <c r="O44">
        <v>43</v>
      </c>
      <c r="P44">
        <v>58</v>
      </c>
      <c r="Q44">
        <v>-15</v>
      </c>
      <c r="R44" t="s">
        <v>105</v>
      </c>
    </row>
    <row r="45" spans="1:18">
      <c r="A45" t="s">
        <v>62</v>
      </c>
      <c r="B45" s="3">
        <v>45709</v>
      </c>
      <c r="C45">
        <v>81.86</v>
      </c>
      <c r="D45">
        <v>82.35</v>
      </c>
      <c r="E45">
        <v>79.25</v>
      </c>
      <c r="F45">
        <v>81.99</v>
      </c>
      <c r="G45">
        <v>81.85</v>
      </c>
      <c r="H45">
        <v>0.14</v>
      </c>
      <c r="I45">
        <v>0.171</v>
      </c>
      <c r="J45">
        <v>22969.86</v>
      </c>
      <c r="K45">
        <v>185337.879</v>
      </c>
      <c r="L45" t="s">
        <v>103</v>
      </c>
      <c r="M45" t="s">
        <v>104</v>
      </c>
      <c r="N45" s="3">
        <v>45729</v>
      </c>
      <c r="O45">
        <v>44</v>
      </c>
      <c r="P45">
        <v>58</v>
      </c>
      <c r="Q45">
        <v>-14</v>
      </c>
      <c r="R45" t="s">
        <v>105</v>
      </c>
    </row>
    <row r="46" spans="1:18">
      <c r="A46" t="s">
        <v>62</v>
      </c>
      <c r="B46" s="3">
        <v>45712</v>
      </c>
      <c r="C46">
        <v>82.3</v>
      </c>
      <c r="D46">
        <v>86.45</v>
      </c>
      <c r="E46">
        <v>81.12</v>
      </c>
      <c r="F46">
        <v>84.14</v>
      </c>
      <c r="G46">
        <v>81.99</v>
      </c>
      <c r="H46">
        <v>2.15</v>
      </c>
      <c r="I46">
        <v>2.6223</v>
      </c>
      <c r="J46">
        <v>25728.45</v>
      </c>
      <c r="K46">
        <v>215760.017</v>
      </c>
      <c r="L46" t="s">
        <v>103</v>
      </c>
      <c r="M46" t="s">
        <v>104</v>
      </c>
      <c r="N46" s="3">
        <v>45729</v>
      </c>
      <c r="O46">
        <v>45</v>
      </c>
      <c r="P46">
        <v>58</v>
      </c>
      <c r="Q46">
        <v>-13</v>
      </c>
      <c r="R46" t="s">
        <v>105</v>
      </c>
    </row>
    <row r="47" spans="1:18">
      <c r="A47" t="s">
        <v>62</v>
      </c>
      <c r="B47" s="3">
        <v>45713</v>
      </c>
      <c r="C47">
        <v>83</v>
      </c>
      <c r="D47">
        <v>85.72</v>
      </c>
      <c r="E47">
        <v>81.5</v>
      </c>
      <c r="F47">
        <v>82.48</v>
      </c>
      <c r="G47">
        <v>84.14</v>
      </c>
      <c r="H47">
        <v>-1.66</v>
      </c>
      <c r="I47">
        <v>-1.9729</v>
      </c>
      <c r="J47">
        <v>23039.57</v>
      </c>
      <c r="K47">
        <v>192722.013</v>
      </c>
      <c r="L47" t="s">
        <v>103</v>
      </c>
      <c r="M47" t="s">
        <v>104</v>
      </c>
      <c r="N47" s="3">
        <v>45729</v>
      </c>
      <c r="O47">
        <v>46</v>
      </c>
      <c r="P47">
        <v>58</v>
      </c>
      <c r="Q47">
        <v>-12</v>
      </c>
      <c r="R47" t="s">
        <v>105</v>
      </c>
    </row>
    <row r="48" spans="1:18">
      <c r="A48" t="s">
        <v>62</v>
      </c>
      <c r="B48" s="3">
        <v>45714</v>
      </c>
      <c r="C48">
        <v>82.08</v>
      </c>
      <c r="D48">
        <v>82.68</v>
      </c>
      <c r="E48">
        <v>78.6</v>
      </c>
      <c r="F48">
        <v>79.57</v>
      </c>
      <c r="G48">
        <v>82.48</v>
      </c>
      <c r="H48">
        <v>-2.91</v>
      </c>
      <c r="I48">
        <v>-3.5281</v>
      </c>
      <c r="J48">
        <v>25920.43</v>
      </c>
      <c r="K48">
        <v>207005.554</v>
      </c>
      <c r="L48" t="s">
        <v>103</v>
      </c>
      <c r="M48" t="s">
        <v>104</v>
      </c>
      <c r="N48" s="3">
        <v>45729</v>
      </c>
      <c r="O48">
        <v>47</v>
      </c>
      <c r="P48">
        <v>58</v>
      </c>
      <c r="Q48">
        <v>-11</v>
      </c>
      <c r="R48" t="s">
        <v>105</v>
      </c>
    </row>
    <row r="49" spans="1:19">
      <c r="A49" t="s">
        <v>62</v>
      </c>
      <c r="B49" s="3">
        <v>45715</v>
      </c>
      <c r="C49">
        <v>79.52</v>
      </c>
      <c r="D49">
        <v>81.77</v>
      </c>
      <c r="E49">
        <v>76.3</v>
      </c>
      <c r="F49">
        <v>78.76</v>
      </c>
      <c r="G49">
        <v>79.57</v>
      </c>
      <c r="H49">
        <v>-0.81</v>
      </c>
      <c r="I49">
        <v>-1.018</v>
      </c>
      <c r="J49">
        <v>31606.18</v>
      </c>
      <c r="K49">
        <v>248898.106</v>
      </c>
      <c r="L49" t="s">
        <v>103</v>
      </c>
      <c r="M49" t="s">
        <v>104</v>
      </c>
      <c r="N49" s="3">
        <v>45729</v>
      </c>
      <c r="O49">
        <v>48</v>
      </c>
      <c r="P49">
        <v>58</v>
      </c>
      <c r="Q49">
        <v>-10</v>
      </c>
      <c r="R49" t="s">
        <v>105</v>
      </c>
    </row>
    <row r="50" spans="1:19">
      <c r="A50" t="s">
        <v>62</v>
      </c>
      <c r="B50" s="3">
        <v>45716</v>
      </c>
      <c r="C50">
        <v>80</v>
      </c>
      <c r="D50">
        <v>81.24</v>
      </c>
      <c r="E50">
        <v>75.15</v>
      </c>
      <c r="F50">
        <v>77.54</v>
      </c>
      <c r="G50">
        <v>78.76</v>
      </c>
      <c r="H50">
        <v>-1.22</v>
      </c>
      <c r="I50">
        <v>-1.549</v>
      </c>
      <c r="J50">
        <v>29429.12</v>
      </c>
      <c r="K50">
        <v>228704.581</v>
      </c>
      <c r="L50" t="s">
        <v>103</v>
      </c>
      <c r="M50" t="s">
        <v>104</v>
      </c>
      <c r="N50" s="3">
        <v>45729</v>
      </c>
      <c r="O50">
        <v>49</v>
      </c>
      <c r="P50">
        <v>58</v>
      </c>
      <c r="Q50">
        <v>-9</v>
      </c>
      <c r="R50" t="s">
        <v>105</v>
      </c>
    </row>
    <row r="51" spans="1:19">
      <c r="A51" t="s">
        <v>62</v>
      </c>
      <c r="B51" s="3">
        <v>45719</v>
      </c>
      <c r="C51">
        <v>76.11</v>
      </c>
      <c r="D51">
        <v>78.03</v>
      </c>
      <c r="E51">
        <v>75.3</v>
      </c>
      <c r="F51">
        <v>76.04</v>
      </c>
      <c r="G51">
        <v>77.54</v>
      </c>
      <c r="H51">
        <v>-1.5</v>
      </c>
      <c r="I51">
        <v>-1.9345</v>
      </c>
      <c r="J51">
        <v>14223.11</v>
      </c>
      <c r="K51">
        <v>108999.938</v>
      </c>
      <c r="L51" t="s">
        <v>103</v>
      </c>
      <c r="M51" t="s">
        <v>104</v>
      </c>
      <c r="N51" s="3">
        <v>45729</v>
      </c>
      <c r="O51">
        <v>50</v>
      </c>
      <c r="P51">
        <v>58</v>
      </c>
      <c r="Q51">
        <v>-8</v>
      </c>
      <c r="R51" t="s">
        <v>105</v>
      </c>
    </row>
    <row r="52" spans="1:19">
      <c r="A52" t="s">
        <v>62</v>
      </c>
      <c r="B52" s="3">
        <v>45720</v>
      </c>
      <c r="C52">
        <v>75.37</v>
      </c>
      <c r="D52">
        <v>77.58</v>
      </c>
      <c r="E52">
        <v>75.17</v>
      </c>
      <c r="F52">
        <v>75.99</v>
      </c>
      <c r="G52">
        <v>76.04</v>
      </c>
      <c r="H52">
        <v>-0.05</v>
      </c>
      <c r="I52">
        <v>-0.0658</v>
      </c>
      <c r="J52">
        <v>12039.34</v>
      </c>
      <c r="K52">
        <v>91846.649</v>
      </c>
      <c r="L52" t="s">
        <v>103</v>
      </c>
      <c r="M52" t="s">
        <v>104</v>
      </c>
      <c r="N52" s="3">
        <v>45729</v>
      </c>
      <c r="O52">
        <v>51</v>
      </c>
      <c r="P52">
        <v>58</v>
      </c>
      <c r="Q52">
        <v>-7</v>
      </c>
      <c r="R52" t="s">
        <v>105</v>
      </c>
    </row>
    <row r="53" spans="1:19">
      <c r="A53" t="s">
        <v>62</v>
      </c>
      <c r="B53" s="3">
        <v>45721</v>
      </c>
      <c r="C53">
        <v>75.61</v>
      </c>
      <c r="D53">
        <v>76.97</v>
      </c>
      <c r="E53">
        <v>72.85</v>
      </c>
      <c r="F53">
        <v>75.3</v>
      </c>
      <c r="G53">
        <v>75.99</v>
      </c>
      <c r="H53">
        <v>-0.69</v>
      </c>
      <c r="I53">
        <v>-0.908</v>
      </c>
      <c r="J53">
        <v>15655.33</v>
      </c>
      <c r="K53">
        <v>116589.717</v>
      </c>
      <c r="L53" t="s">
        <v>103</v>
      </c>
      <c r="M53" t="s">
        <v>104</v>
      </c>
      <c r="N53" s="3">
        <v>45729</v>
      </c>
      <c r="O53">
        <v>52</v>
      </c>
      <c r="P53">
        <v>58</v>
      </c>
      <c r="Q53">
        <v>-6</v>
      </c>
      <c r="R53" t="s">
        <v>105</v>
      </c>
    </row>
    <row r="54" spans="1:19">
      <c r="A54" t="s">
        <v>62</v>
      </c>
      <c r="B54" s="3">
        <v>45722</v>
      </c>
      <c r="C54">
        <v>75.63</v>
      </c>
      <c r="D54">
        <v>82.53</v>
      </c>
      <c r="E54">
        <v>75.63</v>
      </c>
      <c r="F54">
        <v>81.88</v>
      </c>
      <c r="G54">
        <v>75.3</v>
      </c>
      <c r="H54">
        <v>6.58</v>
      </c>
      <c r="I54">
        <v>8.7384</v>
      </c>
      <c r="J54">
        <v>30659.96</v>
      </c>
      <c r="K54">
        <v>244777.369</v>
      </c>
      <c r="L54" t="s">
        <v>103</v>
      </c>
      <c r="M54" t="s">
        <v>104</v>
      </c>
      <c r="N54" s="3">
        <v>45729</v>
      </c>
      <c r="O54">
        <v>53</v>
      </c>
      <c r="P54">
        <v>58</v>
      </c>
      <c r="Q54">
        <v>-5</v>
      </c>
      <c r="R54" t="s">
        <v>105</v>
      </c>
    </row>
    <row r="55" spans="1:19">
      <c r="A55" t="s">
        <v>62</v>
      </c>
      <c r="B55" s="3">
        <v>45723</v>
      </c>
      <c r="C55">
        <v>81.33</v>
      </c>
      <c r="D55">
        <v>81.33</v>
      </c>
      <c r="E55">
        <v>77.65</v>
      </c>
      <c r="F55">
        <v>78.59</v>
      </c>
      <c r="G55">
        <v>81.88</v>
      </c>
      <c r="H55">
        <v>-3.29</v>
      </c>
      <c r="I55">
        <v>-4.0181</v>
      </c>
      <c r="J55">
        <v>10763.37</v>
      </c>
      <c r="K55">
        <v>85814.625</v>
      </c>
      <c r="L55" t="s">
        <v>103</v>
      </c>
      <c r="M55" t="s">
        <v>104</v>
      </c>
      <c r="N55" s="3">
        <v>45729</v>
      </c>
      <c r="O55">
        <v>54</v>
      </c>
      <c r="P55">
        <v>58</v>
      </c>
      <c r="Q55">
        <v>-4</v>
      </c>
      <c r="R55" t="s">
        <v>105</v>
      </c>
    </row>
    <row r="56" spans="1:19">
      <c r="A56" t="s">
        <v>62</v>
      </c>
      <c r="B56" s="3">
        <v>45726</v>
      </c>
      <c r="C56">
        <v>79.08</v>
      </c>
      <c r="D56">
        <v>80</v>
      </c>
      <c r="E56">
        <v>76.61</v>
      </c>
      <c r="F56">
        <v>77.67</v>
      </c>
      <c r="G56">
        <v>78.59</v>
      </c>
      <c r="H56">
        <v>-0.92</v>
      </c>
      <c r="I56">
        <v>-1.1706</v>
      </c>
      <c r="J56">
        <v>13180.33</v>
      </c>
      <c r="K56">
        <v>103726.73</v>
      </c>
      <c r="L56" t="s">
        <v>103</v>
      </c>
      <c r="M56" t="s">
        <v>104</v>
      </c>
      <c r="N56" s="3">
        <v>45729</v>
      </c>
      <c r="O56">
        <v>55</v>
      </c>
      <c r="P56">
        <v>58</v>
      </c>
      <c r="Q56">
        <v>-3</v>
      </c>
      <c r="R56" t="s">
        <v>105</v>
      </c>
    </row>
    <row r="57" spans="1:19">
      <c r="A57" t="s">
        <v>62</v>
      </c>
      <c r="B57" s="3">
        <v>45727</v>
      </c>
      <c r="C57">
        <v>76.8</v>
      </c>
      <c r="D57">
        <v>77.7</v>
      </c>
      <c r="E57">
        <v>74.74</v>
      </c>
      <c r="F57">
        <v>76.8</v>
      </c>
      <c r="G57">
        <v>77.67</v>
      </c>
      <c r="H57">
        <v>-0.87</v>
      </c>
      <c r="I57">
        <v>-1.1201</v>
      </c>
      <c r="J57">
        <v>10347.58</v>
      </c>
      <c r="K57">
        <v>78693.833</v>
      </c>
      <c r="L57" t="s">
        <v>103</v>
      </c>
      <c r="M57" t="s">
        <v>104</v>
      </c>
      <c r="N57" s="3">
        <v>45729</v>
      </c>
      <c r="O57">
        <v>56</v>
      </c>
      <c r="P57">
        <v>58</v>
      </c>
      <c r="Q57">
        <v>-2</v>
      </c>
      <c r="R57" t="s">
        <v>105</v>
      </c>
    </row>
    <row r="58" spans="1:19">
      <c r="A58" t="s">
        <v>62</v>
      </c>
      <c r="B58" s="3">
        <v>45728</v>
      </c>
      <c r="C58">
        <v>77.24</v>
      </c>
      <c r="D58">
        <v>77.6</v>
      </c>
      <c r="E58">
        <v>74.02</v>
      </c>
      <c r="F58">
        <v>75.1</v>
      </c>
      <c r="G58">
        <v>76.8</v>
      </c>
      <c r="H58">
        <v>-1.7</v>
      </c>
      <c r="I58">
        <v>-2.2135</v>
      </c>
      <c r="J58">
        <v>18803.65</v>
      </c>
      <c r="K58">
        <v>141212.077</v>
      </c>
      <c r="L58" t="s">
        <v>103</v>
      </c>
      <c r="M58" t="s">
        <v>104</v>
      </c>
      <c r="N58" s="3">
        <v>45729</v>
      </c>
      <c r="O58">
        <v>57</v>
      </c>
      <c r="P58">
        <v>58</v>
      </c>
      <c r="Q58">
        <v>-1</v>
      </c>
      <c r="R58" t="s">
        <v>105</v>
      </c>
    </row>
    <row r="59" spans="1:19">
      <c r="A59" t="s">
        <v>62</v>
      </c>
      <c r="B59" s="3">
        <v>45729</v>
      </c>
      <c r="C59">
        <v>74.33</v>
      </c>
      <c r="D59">
        <v>74.75</v>
      </c>
      <c r="E59">
        <v>72.5</v>
      </c>
      <c r="F59">
        <v>73</v>
      </c>
      <c r="G59">
        <v>75.1</v>
      </c>
      <c r="H59">
        <v>-2.1</v>
      </c>
      <c r="I59">
        <v>-2.7963</v>
      </c>
      <c r="J59">
        <v>11659.64</v>
      </c>
      <c r="K59">
        <v>85484.611</v>
      </c>
      <c r="L59" t="s">
        <v>103</v>
      </c>
      <c r="M59" t="s">
        <v>104</v>
      </c>
      <c r="N59" s="3">
        <v>45729</v>
      </c>
      <c r="O59">
        <v>58</v>
      </c>
      <c r="P59">
        <v>58</v>
      </c>
      <c r="Q59">
        <v>0</v>
      </c>
      <c r="R59" t="s">
        <v>106</v>
      </c>
      <c r="S59" t="s">
        <v>163</v>
      </c>
    </row>
    <row r="60" spans="1:19">
      <c r="A60" t="s">
        <v>62</v>
      </c>
      <c r="B60" s="3">
        <v>45730</v>
      </c>
      <c r="C60">
        <v>73.99</v>
      </c>
      <c r="D60">
        <v>75.89</v>
      </c>
      <c r="E60">
        <v>72.5</v>
      </c>
      <c r="F60">
        <v>74.22</v>
      </c>
      <c r="G60">
        <v>73</v>
      </c>
      <c r="H60">
        <v>1.22</v>
      </c>
      <c r="I60">
        <v>1.6712</v>
      </c>
      <c r="J60">
        <v>14484.24</v>
      </c>
      <c r="K60">
        <v>107364.278</v>
      </c>
      <c r="L60" t="s">
        <v>103</v>
      </c>
      <c r="M60" t="s">
        <v>104</v>
      </c>
      <c r="N60" s="3">
        <v>45729</v>
      </c>
      <c r="O60">
        <v>59</v>
      </c>
      <c r="P60">
        <v>58</v>
      </c>
      <c r="Q60">
        <v>1</v>
      </c>
      <c r="R60" t="s">
        <v>107</v>
      </c>
    </row>
    <row r="61" spans="1:19">
      <c r="A61" t="s">
        <v>62</v>
      </c>
      <c r="B61" s="3">
        <v>45733</v>
      </c>
      <c r="C61">
        <v>74.66</v>
      </c>
      <c r="D61">
        <v>76.48</v>
      </c>
      <c r="E61">
        <v>73.81</v>
      </c>
      <c r="F61">
        <v>75.38</v>
      </c>
      <c r="G61">
        <v>74.22</v>
      </c>
      <c r="H61">
        <v>1.16</v>
      </c>
      <c r="I61">
        <v>1.5629</v>
      </c>
      <c r="J61">
        <v>11888.35</v>
      </c>
      <c r="K61">
        <v>89734.512</v>
      </c>
      <c r="L61" t="s">
        <v>103</v>
      </c>
      <c r="M61" t="s">
        <v>104</v>
      </c>
      <c r="N61" s="3">
        <v>45729</v>
      </c>
      <c r="O61">
        <v>60</v>
      </c>
      <c r="P61">
        <v>58</v>
      </c>
      <c r="Q61">
        <v>2</v>
      </c>
      <c r="R61" t="s">
        <v>107</v>
      </c>
    </row>
    <row r="62" spans="1:19">
      <c r="A62" t="s">
        <v>62</v>
      </c>
      <c r="B62" s="3">
        <v>45734</v>
      </c>
      <c r="C62">
        <v>75.62</v>
      </c>
      <c r="D62">
        <v>76.73</v>
      </c>
      <c r="E62">
        <v>74</v>
      </c>
      <c r="F62">
        <v>74.5</v>
      </c>
      <c r="G62">
        <v>75.38</v>
      </c>
      <c r="H62">
        <v>-0.88</v>
      </c>
      <c r="I62">
        <v>-1.1674</v>
      </c>
      <c r="J62">
        <v>17447.08</v>
      </c>
      <c r="K62">
        <v>130919.396</v>
      </c>
      <c r="L62" t="s">
        <v>103</v>
      </c>
      <c r="M62" t="s">
        <v>104</v>
      </c>
      <c r="N62" s="3">
        <v>45729</v>
      </c>
      <c r="O62">
        <v>61</v>
      </c>
      <c r="P62">
        <v>58</v>
      </c>
      <c r="Q62">
        <v>3</v>
      </c>
      <c r="R62" t="s">
        <v>107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64</v>
      </c>
    </row>
    <row r="3" spans="1:2">
      <c r="A3" s="5" t="s">
        <v>75</v>
      </c>
      <c r="B3" s="6" t="s">
        <v>65</v>
      </c>
    </row>
    <row r="4" spans="1:2">
      <c r="A4" s="5" t="s">
        <v>2</v>
      </c>
      <c r="B4" s="7">
        <v>45777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45777</v>
      </c>
    </row>
    <row r="9" spans="1:2">
      <c r="A9" s="5" t="s">
        <v>1</v>
      </c>
      <c r="B9">
        <v>44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30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164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64</v>
      </c>
      <c r="B2" s="3">
        <v>45667</v>
      </c>
      <c r="C2">
        <v>24.9</v>
      </c>
      <c r="D2">
        <v>26.08</v>
      </c>
      <c r="E2">
        <v>23.83</v>
      </c>
      <c r="F2">
        <v>23.88</v>
      </c>
      <c r="G2">
        <v>24.99</v>
      </c>
      <c r="H2">
        <v>-1.11</v>
      </c>
      <c r="I2">
        <v>-4.4418</v>
      </c>
      <c r="J2">
        <v>178780.08</v>
      </c>
      <c r="K2">
        <v>447930.142</v>
      </c>
      <c r="L2" t="s">
        <v>103</v>
      </c>
      <c r="M2" t="s">
        <v>104</v>
      </c>
      <c r="N2" s="3">
        <v>45777</v>
      </c>
      <c r="O2">
        <v>1</v>
      </c>
      <c r="P2">
        <v>72</v>
      </c>
      <c r="Q2">
        <v>-71</v>
      </c>
      <c r="R2" t="s">
        <v>105</v>
      </c>
    </row>
    <row r="3" spans="1:19">
      <c r="A3" t="s">
        <v>64</v>
      </c>
      <c r="B3" s="3">
        <v>45670</v>
      </c>
      <c r="C3">
        <v>23.51</v>
      </c>
      <c r="D3">
        <v>24.96</v>
      </c>
      <c r="E3">
        <v>23.12</v>
      </c>
      <c r="F3">
        <v>24.75</v>
      </c>
      <c r="G3">
        <v>23.88</v>
      </c>
      <c r="H3">
        <v>0.87</v>
      </c>
      <c r="I3">
        <v>3.6432</v>
      </c>
      <c r="J3">
        <v>127504.71</v>
      </c>
      <c r="K3">
        <v>307811.835</v>
      </c>
      <c r="L3" t="s">
        <v>103</v>
      </c>
      <c r="M3" t="s">
        <v>104</v>
      </c>
      <c r="N3" s="3">
        <v>45777</v>
      </c>
      <c r="O3">
        <v>2</v>
      </c>
      <c r="P3">
        <v>72</v>
      </c>
      <c r="Q3">
        <v>-70</v>
      </c>
      <c r="R3" t="s">
        <v>105</v>
      </c>
    </row>
    <row r="4" spans="1:19">
      <c r="A4" t="s">
        <v>64</v>
      </c>
      <c r="B4" s="3">
        <v>45671</v>
      </c>
      <c r="C4">
        <v>24.78</v>
      </c>
      <c r="D4">
        <v>25.72</v>
      </c>
      <c r="E4">
        <v>24.26</v>
      </c>
      <c r="F4">
        <v>25.61</v>
      </c>
      <c r="G4">
        <v>24.75</v>
      </c>
      <c r="H4">
        <v>0.86</v>
      </c>
      <c r="I4">
        <v>3.4747</v>
      </c>
      <c r="J4">
        <v>149667.58</v>
      </c>
      <c r="K4">
        <v>376499.128</v>
      </c>
      <c r="L4" t="s">
        <v>103</v>
      </c>
      <c r="M4" t="s">
        <v>104</v>
      </c>
      <c r="N4" s="3">
        <v>45777</v>
      </c>
      <c r="O4">
        <v>3</v>
      </c>
      <c r="P4">
        <v>72</v>
      </c>
      <c r="Q4">
        <v>-69</v>
      </c>
      <c r="R4" t="s">
        <v>105</v>
      </c>
    </row>
    <row r="5" spans="1:19">
      <c r="A5" t="s">
        <v>64</v>
      </c>
      <c r="B5" s="3">
        <v>45672</v>
      </c>
      <c r="C5">
        <v>25.53</v>
      </c>
      <c r="D5">
        <v>25.72</v>
      </c>
      <c r="E5">
        <v>24.87</v>
      </c>
      <c r="F5">
        <v>25.13</v>
      </c>
      <c r="G5">
        <v>25.61</v>
      </c>
      <c r="H5">
        <v>-0.48</v>
      </c>
      <c r="I5">
        <v>-1.8743</v>
      </c>
      <c r="J5">
        <v>102217.71</v>
      </c>
      <c r="K5">
        <v>257352.375</v>
      </c>
      <c r="L5" t="s">
        <v>103</v>
      </c>
      <c r="M5" t="s">
        <v>104</v>
      </c>
      <c r="N5" s="3">
        <v>45777</v>
      </c>
      <c r="O5">
        <v>4</v>
      </c>
      <c r="P5">
        <v>72</v>
      </c>
      <c r="Q5">
        <v>-68</v>
      </c>
      <c r="R5" t="s">
        <v>105</v>
      </c>
    </row>
    <row r="6" spans="1:19">
      <c r="A6" t="s">
        <v>64</v>
      </c>
      <c r="B6" s="3">
        <v>45673</v>
      </c>
      <c r="C6">
        <v>25.5</v>
      </c>
      <c r="D6">
        <v>26.1</v>
      </c>
      <c r="E6">
        <v>24.86</v>
      </c>
      <c r="F6">
        <v>25.16</v>
      </c>
      <c r="G6">
        <v>25.13</v>
      </c>
      <c r="H6">
        <v>0.03</v>
      </c>
      <c r="I6">
        <v>0.1194</v>
      </c>
      <c r="J6">
        <v>108716.05</v>
      </c>
      <c r="K6">
        <v>275991.775</v>
      </c>
      <c r="L6" t="s">
        <v>103</v>
      </c>
      <c r="M6" t="s">
        <v>104</v>
      </c>
      <c r="N6" s="3">
        <v>45777</v>
      </c>
      <c r="O6">
        <v>5</v>
      </c>
      <c r="P6">
        <v>72</v>
      </c>
      <c r="Q6">
        <v>-67</v>
      </c>
      <c r="R6" t="s">
        <v>105</v>
      </c>
    </row>
    <row r="7" spans="1:19">
      <c r="A7" t="s">
        <v>64</v>
      </c>
      <c r="B7" s="3">
        <v>45674</v>
      </c>
      <c r="C7">
        <v>24.98</v>
      </c>
      <c r="D7">
        <v>26.04</v>
      </c>
      <c r="E7">
        <v>24.7</v>
      </c>
      <c r="F7">
        <v>25.34</v>
      </c>
      <c r="G7">
        <v>25.16</v>
      </c>
      <c r="H7">
        <v>0.18</v>
      </c>
      <c r="I7">
        <v>0.7154</v>
      </c>
      <c r="J7">
        <v>112681.43</v>
      </c>
      <c r="K7">
        <v>285825.551</v>
      </c>
      <c r="L7" t="s">
        <v>103</v>
      </c>
      <c r="M7" t="s">
        <v>104</v>
      </c>
      <c r="N7" s="3">
        <v>45777</v>
      </c>
      <c r="O7">
        <v>6</v>
      </c>
      <c r="P7">
        <v>72</v>
      </c>
      <c r="Q7">
        <v>-66</v>
      </c>
      <c r="R7" t="s">
        <v>105</v>
      </c>
    </row>
    <row r="8" spans="1:19">
      <c r="A8" t="s">
        <v>64</v>
      </c>
      <c r="B8" s="3">
        <v>45677</v>
      </c>
      <c r="C8">
        <v>25.72</v>
      </c>
      <c r="D8">
        <v>25.84</v>
      </c>
      <c r="E8">
        <v>25.05</v>
      </c>
      <c r="F8">
        <v>25.15</v>
      </c>
      <c r="G8">
        <v>25.34</v>
      </c>
      <c r="H8">
        <v>-0.19</v>
      </c>
      <c r="I8">
        <v>-0.7498</v>
      </c>
      <c r="J8">
        <v>87218.8</v>
      </c>
      <c r="K8">
        <v>220614.407</v>
      </c>
      <c r="L8" t="s">
        <v>103</v>
      </c>
      <c r="M8" t="s">
        <v>104</v>
      </c>
      <c r="N8" s="3">
        <v>45777</v>
      </c>
      <c r="O8">
        <v>7</v>
      </c>
      <c r="P8">
        <v>72</v>
      </c>
      <c r="Q8">
        <v>-65</v>
      </c>
      <c r="R8" t="s">
        <v>105</v>
      </c>
    </row>
    <row r="9" spans="1:19">
      <c r="A9" t="s">
        <v>64</v>
      </c>
      <c r="B9" s="3">
        <v>45678</v>
      </c>
      <c r="C9">
        <v>25.15</v>
      </c>
      <c r="D9">
        <v>25.33</v>
      </c>
      <c r="E9">
        <v>24.79</v>
      </c>
      <c r="F9">
        <v>25.03</v>
      </c>
      <c r="G9">
        <v>25.15</v>
      </c>
      <c r="H9">
        <v>-0.12</v>
      </c>
      <c r="I9">
        <v>-0.4771</v>
      </c>
      <c r="J9">
        <v>72274.34</v>
      </c>
      <c r="K9">
        <v>180865.269</v>
      </c>
      <c r="L9" t="s">
        <v>103</v>
      </c>
      <c r="M9" t="s">
        <v>104</v>
      </c>
      <c r="N9" s="3">
        <v>45777</v>
      </c>
      <c r="O9">
        <v>8</v>
      </c>
      <c r="P9">
        <v>72</v>
      </c>
      <c r="Q9">
        <v>-64</v>
      </c>
      <c r="R9" t="s">
        <v>105</v>
      </c>
    </row>
    <row r="10" spans="1:19">
      <c r="A10" t="s">
        <v>64</v>
      </c>
      <c r="B10" s="3">
        <v>45679</v>
      </c>
      <c r="C10">
        <v>24.84</v>
      </c>
      <c r="D10">
        <v>24.95</v>
      </c>
      <c r="E10">
        <v>24.03</v>
      </c>
      <c r="F10">
        <v>24.39</v>
      </c>
      <c r="G10">
        <v>25.03</v>
      </c>
      <c r="H10">
        <v>-0.64</v>
      </c>
      <c r="I10">
        <v>-2.5569</v>
      </c>
      <c r="J10">
        <v>92318.87</v>
      </c>
      <c r="K10">
        <v>225894.167</v>
      </c>
      <c r="L10" t="s">
        <v>103</v>
      </c>
      <c r="M10" t="s">
        <v>104</v>
      </c>
      <c r="N10" s="3">
        <v>45777</v>
      </c>
      <c r="O10">
        <v>9</v>
      </c>
      <c r="P10">
        <v>72</v>
      </c>
      <c r="Q10">
        <v>-63</v>
      </c>
      <c r="R10" t="s">
        <v>105</v>
      </c>
    </row>
    <row r="11" spans="1:19">
      <c r="A11" t="s">
        <v>64</v>
      </c>
      <c r="B11" s="3">
        <v>45680</v>
      </c>
      <c r="C11">
        <v>24.68</v>
      </c>
      <c r="D11">
        <v>25.26</v>
      </c>
      <c r="E11">
        <v>24.35</v>
      </c>
      <c r="F11">
        <v>24.35</v>
      </c>
      <c r="G11">
        <v>24.39</v>
      </c>
      <c r="H11">
        <v>-0.04</v>
      </c>
      <c r="I11">
        <v>-0.164</v>
      </c>
      <c r="J11">
        <v>88080.75</v>
      </c>
      <c r="K11">
        <v>218348.198</v>
      </c>
      <c r="L11" t="s">
        <v>103</v>
      </c>
      <c r="M11" t="s">
        <v>104</v>
      </c>
      <c r="N11" s="3">
        <v>45777</v>
      </c>
      <c r="O11">
        <v>10</v>
      </c>
      <c r="P11">
        <v>72</v>
      </c>
      <c r="Q11">
        <v>-62</v>
      </c>
      <c r="R11" t="s">
        <v>105</v>
      </c>
    </row>
    <row r="12" spans="1:19">
      <c r="A12" t="s">
        <v>64</v>
      </c>
      <c r="B12" s="3">
        <v>45681</v>
      </c>
      <c r="C12">
        <v>24.35</v>
      </c>
      <c r="D12">
        <v>24.68</v>
      </c>
      <c r="E12">
        <v>24.23</v>
      </c>
      <c r="F12">
        <v>24.61</v>
      </c>
      <c r="G12">
        <v>24.35</v>
      </c>
      <c r="H12">
        <v>0.26</v>
      </c>
      <c r="I12">
        <v>1.0678</v>
      </c>
      <c r="J12">
        <v>70044.36</v>
      </c>
      <c r="K12">
        <v>171546.42</v>
      </c>
      <c r="L12" t="s">
        <v>103</v>
      </c>
      <c r="M12" t="s">
        <v>104</v>
      </c>
      <c r="N12" s="3">
        <v>45777</v>
      </c>
      <c r="O12">
        <v>11</v>
      </c>
      <c r="P12">
        <v>72</v>
      </c>
      <c r="Q12">
        <v>-61</v>
      </c>
      <c r="R12" t="s">
        <v>105</v>
      </c>
    </row>
    <row r="13" spans="1:19">
      <c r="A13" t="s">
        <v>64</v>
      </c>
      <c r="B13" s="3">
        <v>45684</v>
      </c>
      <c r="C13">
        <v>24.69</v>
      </c>
      <c r="D13">
        <v>24.88</v>
      </c>
      <c r="E13">
        <v>23.56</v>
      </c>
      <c r="F13">
        <v>23.56</v>
      </c>
      <c r="G13">
        <v>24.61</v>
      </c>
      <c r="H13">
        <v>-1.05</v>
      </c>
      <c r="I13">
        <v>-4.2666</v>
      </c>
      <c r="J13">
        <v>83034.58</v>
      </c>
      <c r="K13">
        <v>199074.895</v>
      </c>
      <c r="L13" t="s">
        <v>103</v>
      </c>
      <c r="M13" t="s">
        <v>104</v>
      </c>
      <c r="N13" s="3">
        <v>45777</v>
      </c>
      <c r="O13">
        <v>12</v>
      </c>
      <c r="P13">
        <v>72</v>
      </c>
      <c r="Q13">
        <v>-60</v>
      </c>
      <c r="R13" t="s">
        <v>105</v>
      </c>
    </row>
    <row r="14" spans="1:19">
      <c r="A14" t="s">
        <v>64</v>
      </c>
      <c r="B14" s="3">
        <v>45693</v>
      </c>
      <c r="C14">
        <v>24.15</v>
      </c>
      <c r="D14">
        <v>24.3</v>
      </c>
      <c r="E14">
        <v>23.9</v>
      </c>
      <c r="F14">
        <v>24.06</v>
      </c>
      <c r="G14">
        <v>23.56</v>
      </c>
      <c r="H14">
        <v>0.5</v>
      </c>
      <c r="I14">
        <v>2.1222</v>
      </c>
      <c r="J14">
        <v>63821.6</v>
      </c>
      <c r="K14">
        <v>153643.611</v>
      </c>
      <c r="L14" t="s">
        <v>103</v>
      </c>
      <c r="M14" t="s">
        <v>104</v>
      </c>
      <c r="N14" s="3">
        <v>45777</v>
      </c>
      <c r="O14">
        <v>13</v>
      </c>
      <c r="P14">
        <v>72</v>
      </c>
      <c r="Q14">
        <v>-59</v>
      </c>
      <c r="R14" t="s">
        <v>105</v>
      </c>
    </row>
    <row r="15" spans="1:19">
      <c r="A15" t="s">
        <v>64</v>
      </c>
      <c r="B15" s="3">
        <v>45694</v>
      </c>
      <c r="C15">
        <v>23.94</v>
      </c>
      <c r="D15">
        <v>25.23</v>
      </c>
      <c r="E15">
        <v>23.8</v>
      </c>
      <c r="F15">
        <v>25.13</v>
      </c>
      <c r="G15">
        <v>24.06</v>
      </c>
      <c r="H15">
        <v>1.07</v>
      </c>
      <c r="I15">
        <v>4.4472</v>
      </c>
      <c r="J15">
        <v>112529.36</v>
      </c>
      <c r="K15">
        <v>279186.831</v>
      </c>
      <c r="L15" t="s">
        <v>103</v>
      </c>
      <c r="M15" t="s">
        <v>104</v>
      </c>
      <c r="N15" s="3">
        <v>45777</v>
      </c>
      <c r="O15">
        <v>14</v>
      </c>
      <c r="P15">
        <v>72</v>
      </c>
      <c r="Q15">
        <v>-58</v>
      </c>
      <c r="R15" t="s">
        <v>105</v>
      </c>
    </row>
    <row r="16" spans="1:19">
      <c r="A16" t="s">
        <v>64</v>
      </c>
      <c r="B16" s="3">
        <v>45695</v>
      </c>
      <c r="C16">
        <v>25.13</v>
      </c>
      <c r="D16">
        <v>25.5</v>
      </c>
      <c r="E16">
        <v>24.7</v>
      </c>
      <c r="F16">
        <v>25.09</v>
      </c>
      <c r="G16">
        <v>25.13</v>
      </c>
      <c r="H16">
        <v>-0.04</v>
      </c>
      <c r="I16">
        <v>-0.1592</v>
      </c>
      <c r="J16">
        <v>126276.4</v>
      </c>
      <c r="K16">
        <v>317815.384</v>
      </c>
      <c r="L16" t="s">
        <v>103</v>
      </c>
      <c r="M16" t="s">
        <v>104</v>
      </c>
      <c r="N16" s="3">
        <v>45777</v>
      </c>
      <c r="O16">
        <v>15</v>
      </c>
      <c r="P16">
        <v>72</v>
      </c>
      <c r="Q16">
        <v>-57</v>
      </c>
      <c r="R16" t="s">
        <v>105</v>
      </c>
    </row>
    <row r="17" spans="1:18">
      <c r="A17" t="s">
        <v>64</v>
      </c>
      <c r="B17" s="3">
        <v>45698</v>
      </c>
      <c r="C17">
        <v>25.13</v>
      </c>
      <c r="D17">
        <v>25.35</v>
      </c>
      <c r="E17">
        <v>24.8</v>
      </c>
      <c r="F17">
        <v>25.24</v>
      </c>
      <c r="G17">
        <v>25.09</v>
      </c>
      <c r="H17">
        <v>0.15</v>
      </c>
      <c r="I17">
        <v>0.5978</v>
      </c>
      <c r="J17">
        <v>96433</v>
      </c>
      <c r="K17">
        <v>241640.156</v>
      </c>
      <c r="L17" t="s">
        <v>103</v>
      </c>
      <c r="M17" t="s">
        <v>104</v>
      </c>
      <c r="N17" s="3">
        <v>45777</v>
      </c>
      <c r="O17">
        <v>16</v>
      </c>
      <c r="P17">
        <v>72</v>
      </c>
      <c r="Q17">
        <v>-56</v>
      </c>
      <c r="R17" t="s">
        <v>105</v>
      </c>
    </row>
    <row r="18" spans="1:18">
      <c r="A18" t="s">
        <v>64</v>
      </c>
      <c r="B18" s="3">
        <v>45699</v>
      </c>
      <c r="C18">
        <v>25.18</v>
      </c>
      <c r="D18">
        <v>25.18</v>
      </c>
      <c r="E18">
        <v>24.66</v>
      </c>
      <c r="F18">
        <v>24.95</v>
      </c>
      <c r="G18">
        <v>25.24</v>
      </c>
      <c r="H18">
        <v>-0.29</v>
      </c>
      <c r="I18">
        <v>-1.149</v>
      </c>
      <c r="J18">
        <v>71743.41</v>
      </c>
      <c r="K18">
        <v>178334.282</v>
      </c>
      <c r="L18" t="s">
        <v>103</v>
      </c>
      <c r="M18" t="s">
        <v>104</v>
      </c>
      <c r="N18" s="3">
        <v>45777</v>
      </c>
      <c r="O18">
        <v>17</v>
      </c>
      <c r="P18">
        <v>72</v>
      </c>
      <c r="Q18">
        <v>-55</v>
      </c>
      <c r="R18" t="s">
        <v>105</v>
      </c>
    </row>
    <row r="19" spans="1:18">
      <c r="A19" t="s">
        <v>64</v>
      </c>
      <c r="B19" s="3">
        <v>45700</v>
      </c>
      <c r="C19">
        <v>24.77</v>
      </c>
      <c r="D19">
        <v>25.4</v>
      </c>
      <c r="E19">
        <v>24.71</v>
      </c>
      <c r="F19">
        <v>25.4</v>
      </c>
      <c r="G19">
        <v>24.95</v>
      </c>
      <c r="H19">
        <v>0.45</v>
      </c>
      <c r="I19">
        <v>1.8036</v>
      </c>
      <c r="J19">
        <v>103315.05</v>
      </c>
      <c r="K19">
        <v>258915.121</v>
      </c>
      <c r="L19" t="s">
        <v>103</v>
      </c>
      <c r="M19" t="s">
        <v>104</v>
      </c>
      <c r="N19" s="3">
        <v>45777</v>
      </c>
      <c r="O19">
        <v>18</v>
      </c>
      <c r="P19">
        <v>72</v>
      </c>
      <c r="Q19">
        <v>-54</v>
      </c>
      <c r="R19" t="s">
        <v>105</v>
      </c>
    </row>
    <row r="20" spans="1:18">
      <c r="A20" t="s">
        <v>64</v>
      </c>
      <c r="B20" s="3">
        <v>45701</v>
      </c>
      <c r="C20">
        <v>25.41</v>
      </c>
      <c r="D20">
        <v>25.48</v>
      </c>
      <c r="E20">
        <v>24.56</v>
      </c>
      <c r="F20">
        <v>24.56</v>
      </c>
      <c r="G20">
        <v>25.4</v>
      </c>
      <c r="H20">
        <v>-0.84</v>
      </c>
      <c r="I20">
        <v>-3.3071</v>
      </c>
      <c r="J20">
        <v>107421.62</v>
      </c>
      <c r="K20">
        <v>267063.61</v>
      </c>
      <c r="L20" t="s">
        <v>103</v>
      </c>
      <c r="M20" t="s">
        <v>104</v>
      </c>
      <c r="N20" s="3">
        <v>45777</v>
      </c>
      <c r="O20">
        <v>19</v>
      </c>
      <c r="P20">
        <v>72</v>
      </c>
      <c r="Q20">
        <v>-53</v>
      </c>
      <c r="R20" t="s">
        <v>105</v>
      </c>
    </row>
    <row r="21" spans="1:18">
      <c r="A21" t="s">
        <v>64</v>
      </c>
      <c r="B21" s="3">
        <v>45702</v>
      </c>
      <c r="C21">
        <v>24.42</v>
      </c>
      <c r="D21">
        <v>24.55</v>
      </c>
      <c r="E21">
        <v>23.89</v>
      </c>
      <c r="F21">
        <v>24.09</v>
      </c>
      <c r="G21">
        <v>24.56</v>
      </c>
      <c r="H21">
        <v>-0.47</v>
      </c>
      <c r="I21">
        <v>-1.9137</v>
      </c>
      <c r="J21">
        <v>106265.68</v>
      </c>
      <c r="K21">
        <v>256181.256</v>
      </c>
      <c r="L21" t="s">
        <v>103</v>
      </c>
      <c r="M21" t="s">
        <v>104</v>
      </c>
      <c r="N21" s="3">
        <v>45777</v>
      </c>
      <c r="O21">
        <v>20</v>
      </c>
      <c r="P21">
        <v>72</v>
      </c>
      <c r="Q21">
        <v>-52</v>
      </c>
      <c r="R21" t="s">
        <v>105</v>
      </c>
    </row>
    <row r="22" spans="1:18">
      <c r="A22" t="s">
        <v>64</v>
      </c>
      <c r="B22" s="3">
        <v>45705</v>
      </c>
      <c r="C22">
        <v>24.16</v>
      </c>
      <c r="D22">
        <v>24.88</v>
      </c>
      <c r="E22">
        <v>24.1</v>
      </c>
      <c r="F22">
        <v>24.86</v>
      </c>
      <c r="G22">
        <v>24.09</v>
      </c>
      <c r="H22">
        <v>0.77</v>
      </c>
      <c r="I22">
        <v>3.1963</v>
      </c>
      <c r="J22">
        <v>111698.66</v>
      </c>
      <c r="K22">
        <v>275436.45</v>
      </c>
      <c r="L22" t="s">
        <v>103</v>
      </c>
      <c r="M22" t="s">
        <v>104</v>
      </c>
      <c r="N22" s="3">
        <v>45777</v>
      </c>
      <c r="O22">
        <v>21</v>
      </c>
      <c r="P22">
        <v>72</v>
      </c>
      <c r="Q22">
        <v>-51</v>
      </c>
      <c r="R22" t="s">
        <v>105</v>
      </c>
    </row>
    <row r="23" spans="1:18">
      <c r="A23" t="s">
        <v>64</v>
      </c>
      <c r="B23" s="3">
        <v>45706</v>
      </c>
      <c r="C23">
        <v>24.7</v>
      </c>
      <c r="D23">
        <v>25.41</v>
      </c>
      <c r="E23">
        <v>24.26</v>
      </c>
      <c r="F23">
        <v>24.35</v>
      </c>
      <c r="G23">
        <v>24.86</v>
      </c>
      <c r="H23">
        <v>-0.51</v>
      </c>
      <c r="I23">
        <v>-2.0515</v>
      </c>
      <c r="J23">
        <v>112814.8</v>
      </c>
      <c r="K23">
        <v>280262.655</v>
      </c>
      <c r="L23" t="s">
        <v>103</v>
      </c>
      <c r="M23" t="s">
        <v>104</v>
      </c>
      <c r="N23" s="3">
        <v>45777</v>
      </c>
      <c r="O23">
        <v>22</v>
      </c>
      <c r="P23">
        <v>72</v>
      </c>
      <c r="Q23">
        <v>-50</v>
      </c>
      <c r="R23" t="s">
        <v>105</v>
      </c>
    </row>
    <row r="24" spans="1:18">
      <c r="A24" t="s">
        <v>64</v>
      </c>
      <c r="B24" s="3">
        <v>45707</v>
      </c>
      <c r="C24">
        <v>24.33</v>
      </c>
      <c r="D24">
        <v>25.26</v>
      </c>
      <c r="E24">
        <v>24.16</v>
      </c>
      <c r="F24">
        <v>25.18</v>
      </c>
      <c r="G24">
        <v>24.35</v>
      </c>
      <c r="H24">
        <v>0.83</v>
      </c>
      <c r="I24">
        <v>3.4086</v>
      </c>
      <c r="J24">
        <v>119171.55</v>
      </c>
      <c r="K24">
        <v>297917.992</v>
      </c>
      <c r="L24" t="s">
        <v>103</v>
      </c>
      <c r="M24" t="s">
        <v>104</v>
      </c>
      <c r="N24" s="3">
        <v>45777</v>
      </c>
      <c r="O24">
        <v>23</v>
      </c>
      <c r="P24">
        <v>72</v>
      </c>
      <c r="Q24">
        <v>-49</v>
      </c>
      <c r="R24" t="s">
        <v>105</v>
      </c>
    </row>
    <row r="25" spans="1:18">
      <c r="A25" t="s">
        <v>64</v>
      </c>
      <c r="B25" s="3">
        <v>45708</v>
      </c>
      <c r="C25">
        <v>25.1</v>
      </c>
      <c r="D25">
        <v>25.1</v>
      </c>
      <c r="E25">
        <v>24.71</v>
      </c>
      <c r="F25">
        <v>24.96</v>
      </c>
      <c r="G25">
        <v>25.18</v>
      </c>
      <c r="H25">
        <v>-0.22</v>
      </c>
      <c r="I25">
        <v>-0.8737</v>
      </c>
      <c r="J25">
        <v>79973.29</v>
      </c>
      <c r="K25">
        <v>198957.549</v>
      </c>
      <c r="L25" t="s">
        <v>103</v>
      </c>
      <c r="M25" t="s">
        <v>104</v>
      </c>
      <c r="N25" s="3">
        <v>45777</v>
      </c>
      <c r="O25">
        <v>24</v>
      </c>
      <c r="P25">
        <v>72</v>
      </c>
      <c r="Q25">
        <v>-48</v>
      </c>
      <c r="R25" t="s">
        <v>105</v>
      </c>
    </row>
    <row r="26" spans="1:18">
      <c r="A26" t="s">
        <v>64</v>
      </c>
      <c r="B26" s="3">
        <v>45709</v>
      </c>
      <c r="C26">
        <v>24.78</v>
      </c>
      <c r="D26">
        <v>25.49</v>
      </c>
      <c r="E26">
        <v>24.67</v>
      </c>
      <c r="F26">
        <v>25.46</v>
      </c>
      <c r="G26">
        <v>24.96</v>
      </c>
      <c r="H26">
        <v>0.5</v>
      </c>
      <c r="I26">
        <v>2.0032</v>
      </c>
      <c r="J26">
        <v>133374.6</v>
      </c>
      <c r="K26">
        <v>336089.017</v>
      </c>
      <c r="L26" t="s">
        <v>103</v>
      </c>
      <c r="M26" t="s">
        <v>104</v>
      </c>
      <c r="N26" s="3">
        <v>45777</v>
      </c>
      <c r="O26">
        <v>25</v>
      </c>
      <c r="P26">
        <v>72</v>
      </c>
      <c r="Q26">
        <v>-47</v>
      </c>
      <c r="R26" t="s">
        <v>105</v>
      </c>
    </row>
    <row r="27" spans="1:18">
      <c r="A27" t="s">
        <v>64</v>
      </c>
      <c r="B27" s="3">
        <v>45712</v>
      </c>
      <c r="C27">
        <v>25.5</v>
      </c>
      <c r="D27">
        <v>25.98</v>
      </c>
      <c r="E27">
        <v>25.22</v>
      </c>
      <c r="F27">
        <v>25.56</v>
      </c>
      <c r="G27">
        <v>25.46</v>
      </c>
      <c r="H27">
        <v>0.1</v>
      </c>
      <c r="I27">
        <v>0.3928</v>
      </c>
      <c r="J27">
        <v>125493.76</v>
      </c>
      <c r="K27">
        <v>321370.207</v>
      </c>
      <c r="L27" t="s">
        <v>103</v>
      </c>
      <c r="M27" t="s">
        <v>104</v>
      </c>
      <c r="N27" s="3">
        <v>45777</v>
      </c>
      <c r="O27">
        <v>26</v>
      </c>
      <c r="P27">
        <v>72</v>
      </c>
      <c r="Q27">
        <v>-46</v>
      </c>
      <c r="R27" t="s">
        <v>105</v>
      </c>
    </row>
    <row r="28" spans="1:18">
      <c r="A28" t="s">
        <v>64</v>
      </c>
      <c r="B28" s="3">
        <v>45713</v>
      </c>
      <c r="C28">
        <v>25.2</v>
      </c>
      <c r="D28">
        <v>26.3</v>
      </c>
      <c r="E28">
        <v>25.03</v>
      </c>
      <c r="F28">
        <v>25.82</v>
      </c>
      <c r="G28">
        <v>25.56</v>
      </c>
      <c r="H28">
        <v>0.26</v>
      </c>
      <c r="I28">
        <v>1.0172</v>
      </c>
      <c r="J28">
        <v>136535.2</v>
      </c>
      <c r="K28">
        <v>352358.824</v>
      </c>
      <c r="L28" t="s">
        <v>103</v>
      </c>
      <c r="M28" t="s">
        <v>104</v>
      </c>
      <c r="N28" s="3">
        <v>45777</v>
      </c>
      <c r="O28">
        <v>27</v>
      </c>
      <c r="P28">
        <v>72</v>
      </c>
      <c r="Q28">
        <v>-45</v>
      </c>
      <c r="R28" t="s">
        <v>105</v>
      </c>
    </row>
    <row r="29" spans="1:18">
      <c r="A29" t="s">
        <v>64</v>
      </c>
      <c r="B29" s="3">
        <v>45714</v>
      </c>
      <c r="C29">
        <v>26.33</v>
      </c>
      <c r="D29">
        <v>26.49</v>
      </c>
      <c r="E29">
        <v>25.62</v>
      </c>
      <c r="F29">
        <v>25.95</v>
      </c>
      <c r="G29">
        <v>25.82</v>
      </c>
      <c r="H29">
        <v>0.13</v>
      </c>
      <c r="I29">
        <v>0.5035</v>
      </c>
      <c r="J29">
        <v>138869.92</v>
      </c>
      <c r="K29">
        <v>359975.214</v>
      </c>
      <c r="L29" t="s">
        <v>103</v>
      </c>
      <c r="M29" t="s">
        <v>104</v>
      </c>
      <c r="N29" s="3">
        <v>45777</v>
      </c>
      <c r="O29">
        <v>28</v>
      </c>
      <c r="P29">
        <v>72</v>
      </c>
      <c r="Q29">
        <v>-44</v>
      </c>
      <c r="R29" t="s">
        <v>105</v>
      </c>
    </row>
    <row r="30" spans="1:18">
      <c r="A30" t="s">
        <v>64</v>
      </c>
      <c r="B30" s="3">
        <v>45715</v>
      </c>
      <c r="C30">
        <v>25.85</v>
      </c>
      <c r="D30">
        <v>25.91</v>
      </c>
      <c r="E30">
        <v>24.88</v>
      </c>
      <c r="F30">
        <v>25.49</v>
      </c>
      <c r="G30">
        <v>25.95</v>
      </c>
      <c r="H30">
        <v>-0.46</v>
      </c>
      <c r="I30">
        <v>-1.7726</v>
      </c>
      <c r="J30">
        <v>109755.73</v>
      </c>
      <c r="K30">
        <v>278659.096</v>
      </c>
      <c r="L30" t="s">
        <v>103</v>
      </c>
      <c r="M30" t="s">
        <v>104</v>
      </c>
      <c r="N30" s="3">
        <v>45777</v>
      </c>
      <c r="O30">
        <v>29</v>
      </c>
      <c r="P30">
        <v>72</v>
      </c>
      <c r="Q30">
        <v>-43</v>
      </c>
      <c r="R30" t="s">
        <v>105</v>
      </c>
    </row>
    <row r="31" spans="1:18">
      <c r="A31" t="s">
        <v>64</v>
      </c>
      <c r="B31" s="3">
        <v>45716</v>
      </c>
      <c r="C31">
        <v>25.1</v>
      </c>
      <c r="D31">
        <v>25.42</v>
      </c>
      <c r="E31">
        <v>23.84</v>
      </c>
      <c r="F31">
        <v>23.97</v>
      </c>
      <c r="G31">
        <v>25.49</v>
      </c>
      <c r="H31">
        <v>-1.52</v>
      </c>
      <c r="I31">
        <v>-5.9631</v>
      </c>
      <c r="J31">
        <v>113135.24</v>
      </c>
      <c r="K31">
        <v>276963.238</v>
      </c>
      <c r="L31" t="s">
        <v>103</v>
      </c>
      <c r="M31" t="s">
        <v>104</v>
      </c>
      <c r="N31" s="3">
        <v>45777</v>
      </c>
      <c r="O31">
        <v>30</v>
      </c>
      <c r="P31">
        <v>72</v>
      </c>
      <c r="Q31">
        <v>-42</v>
      </c>
      <c r="R31" t="s">
        <v>105</v>
      </c>
    </row>
    <row r="32" spans="1:18">
      <c r="A32" t="s">
        <v>64</v>
      </c>
      <c r="B32" s="3">
        <v>45719</v>
      </c>
      <c r="C32">
        <v>23.96</v>
      </c>
      <c r="D32">
        <v>24.93</v>
      </c>
      <c r="E32">
        <v>23.66</v>
      </c>
      <c r="F32">
        <v>24.2</v>
      </c>
      <c r="G32">
        <v>23.97</v>
      </c>
      <c r="H32">
        <v>0.23</v>
      </c>
      <c r="I32">
        <v>0.9595</v>
      </c>
      <c r="J32">
        <v>95672.03</v>
      </c>
      <c r="K32">
        <v>232402.983</v>
      </c>
      <c r="L32" t="s">
        <v>103</v>
      </c>
      <c r="M32" t="s">
        <v>104</v>
      </c>
      <c r="N32" s="3">
        <v>45777</v>
      </c>
      <c r="O32">
        <v>31</v>
      </c>
      <c r="P32">
        <v>72</v>
      </c>
      <c r="Q32">
        <v>-41</v>
      </c>
      <c r="R32" t="s">
        <v>105</v>
      </c>
    </row>
    <row r="33" spans="1:18">
      <c r="A33" t="s">
        <v>64</v>
      </c>
      <c r="B33" s="3">
        <v>45720</v>
      </c>
      <c r="C33">
        <v>23.98</v>
      </c>
      <c r="D33">
        <v>24.78</v>
      </c>
      <c r="E33">
        <v>23.83</v>
      </c>
      <c r="F33">
        <v>24.72</v>
      </c>
      <c r="G33">
        <v>24.2</v>
      </c>
      <c r="H33">
        <v>0.52</v>
      </c>
      <c r="I33">
        <v>2.1488</v>
      </c>
      <c r="J33">
        <v>92667.19</v>
      </c>
      <c r="K33">
        <v>225993.823</v>
      </c>
      <c r="L33" t="s">
        <v>103</v>
      </c>
      <c r="M33" t="s">
        <v>104</v>
      </c>
      <c r="N33" s="3">
        <v>45777</v>
      </c>
      <c r="O33">
        <v>32</v>
      </c>
      <c r="P33">
        <v>72</v>
      </c>
      <c r="Q33">
        <v>-40</v>
      </c>
      <c r="R33" t="s">
        <v>105</v>
      </c>
    </row>
    <row r="34" spans="1:18">
      <c r="A34" t="s">
        <v>64</v>
      </c>
      <c r="B34" s="3">
        <v>45721</v>
      </c>
      <c r="C34">
        <v>24.63</v>
      </c>
      <c r="D34">
        <v>25.3</v>
      </c>
      <c r="E34">
        <v>24.16</v>
      </c>
      <c r="F34">
        <v>24.58</v>
      </c>
      <c r="G34">
        <v>24.72</v>
      </c>
      <c r="H34">
        <v>-0.14</v>
      </c>
      <c r="I34">
        <v>-0.5663</v>
      </c>
      <c r="J34">
        <v>78507</v>
      </c>
      <c r="K34">
        <v>193401.592</v>
      </c>
      <c r="L34" t="s">
        <v>103</v>
      </c>
      <c r="M34" t="s">
        <v>104</v>
      </c>
      <c r="N34" s="3">
        <v>45777</v>
      </c>
      <c r="O34">
        <v>33</v>
      </c>
      <c r="P34">
        <v>72</v>
      </c>
      <c r="Q34">
        <v>-39</v>
      </c>
      <c r="R34" t="s">
        <v>105</v>
      </c>
    </row>
    <row r="35" spans="1:18">
      <c r="A35" t="s">
        <v>64</v>
      </c>
      <c r="B35" s="3">
        <v>45722</v>
      </c>
      <c r="C35">
        <v>24.65</v>
      </c>
      <c r="D35">
        <v>25.27</v>
      </c>
      <c r="E35">
        <v>24.63</v>
      </c>
      <c r="F35">
        <v>24.76</v>
      </c>
      <c r="G35">
        <v>24.58</v>
      </c>
      <c r="H35">
        <v>0.18</v>
      </c>
      <c r="I35">
        <v>0.7323</v>
      </c>
      <c r="J35">
        <v>102941.87</v>
      </c>
      <c r="K35">
        <v>256664.057</v>
      </c>
      <c r="L35" t="s">
        <v>103</v>
      </c>
      <c r="M35" t="s">
        <v>104</v>
      </c>
      <c r="N35" s="3">
        <v>45777</v>
      </c>
      <c r="O35">
        <v>34</v>
      </c>
      <c r="P35">
        <v>72</v>
      </c>
      <c r="Q35">
        <v>-38</v>
      </c>
      <c r="R35" t="s">
        <v>105</v>
      </c>
    </row>
    <row r="36" spans="1:18">
      <c r="A36" t="s">
        <v>64</v>
      </c>
      <c r="B36" s="3">
        <v>45723</v>
      </c>
      <c r="C36">
        <v>25.02</v>
      </c>
      <c r="D36">
        <v>28.86</v>
      </c>
      <c r="E36">
        <v>24.86</v>
      </c>
      <c r="F36">
        <v>27.73</v>
      </c>
      <c r="G36">
        <v>24.76</v>
      </c>
      <c r="H36">
        <v>2.97</v>
      </c>
      <c r="I36">
        <v>11.9952</v>
      </c>
      <c r="J36">
        <v>499605.33</v>
      </c>
      <c r="K36">
        <v>1366699.037</v>
      </c>
      <c r="L36" t="s">
        <v>103</v>
      </c>
      <c r="M36" t="s">
        <v>104</v>
      </c>
      <c r="N36" s="3">
        <v>45777</v>
      </c>
      <c r="O36">
        <v>35</v>
      </c>
      <c r="P36">
        <v>72</v>
      </c>
      <c r="Q36">
        <v>-37</v>
      </c>
      <c r="R36" t="s">
        <v>105</v>
      </c>
    </row>
    <row r="37" spans="1:18">
      <c r="A37" t="s">
        <v>64</v>
      </c>
      <c r="B37" s="3">
        <v>45726</v>
      </c>
      <c r="C37">
        <v>27.5</v>
      </c>
      <c r="D37">
        <v>28.48</v>
      </c>
      <c r="E37">
        <v>27</v>
      </c>
      <c r="F37">
        <v>27.39</v>
      </c>
      <c r="G37">
        <v>27.73</v>
      </c>
      <c r="H37">
        <v>-0.34</v>
      </c>
      <c r="I37">
        <v>-1.2261</v>
      </c>
      <c r="J37">
        <v>335558.95</v>
      </c>
      <c r="K37">
        <v>927083.337</v>
      </c>
      <c r="L37" t="s">
        <v>103</v>
      </c>
      <c r="M37" t="s">
        <v>104</v>
      </c>
      <c r="N37" s="3">
        <v>45777</v>
      </c>
      <c r="O37">
        <v>36</v>
      </c>
      <c r="P37">
        <v>72</v>
      </c>
      <c r="Q37">
        <v>-36</v>
      </c>
      <c r="R37" t="s">
        <v>105</v>
      </c>
    </row>
    <row r="38" spans="1:18">
      <c r="A38" t="s">
        <v>64</v>
      </c>
      <c r="B38" s="3">
        <v>45727</v>
      </c>
      <c r="C38">
        <v>26.83</v>
      </c>
      <c r="D38">
        <v>27.49</v>
      </c>
      <c r="E38">
        <v>26.65</v>
      </c>
      <c r="F38">
        <v>27.19</v>
      </c>
      <c r="G38">
        <v>27.39</v>
      </c>
      <c r="H38">
        <v>-0.2</v>
      </c>
      <c r="I38">
        <v>-0.7302</v>
      </c>
      <c r="J38">
        <v>157503.59</v>
      </c>
      <c r="K38">
        <v>425197.374</v>
      </c>
      <c r="L38" t="s">
        <v>103</v>
      </c>
      <c r="M38" t="s">
        <v>104</v>
      </c>
      <c r="N38" s="3">
        <v>45777</v>
      </c>
      <c r="O38">
        <v>37</v>
      </c>
      <c r="P38">
        <v>72</v>
      </c>
      <c r="Q38">
        <v>-35</v>
      </c>
      <c r="R38" t="s">
        <v>105</v>
      </c>
    </row>
    <row r="39" spans="1:18">
      <c r="A39" t="s">
        <v>64</v>
      </c>
      <c r="B39" s="3">
        <v>45728</v>
      </c>
      <c r="C39">
        <v>27.26</v>
      </c>
      <c r="D39">
        <v>27.82</v>
      </c>
      <c r="E39">
        <v>26.77</v>
      </c>
      <c r="F39">
        <v>27.01</v>
      </c>
      <c r="G39">
        <v>27.19</v>
      </c>
      <c r="H39">
        <v>-0.18</v>
      </c>
      <c r="I39">
        <v>-0.662</v>
      </c>
      <c r="J39">
        <v>151546.85</v>
      </c>
      <c r="K39">
        <v>411145.991</v>
      </c>
      <c r="L39" t="s">
        <v>103</v>
      </c>
      <c r="M39" t="s">
        <v>104</v>
      </c>
      <c r="N39" s="3">
        <v>45777</v>
      </c>
      <c r="O39">
        <v>38</v>
      </c>
      <c r="P39">
        <v>72</v>
      </c>
      <c r="Q39">
        <v>-34</v>
      </c>
      <c r="R39" t="s">
        <v>105</v>
      </c>
    </row>
    <row r="40" spans="1:18">
      <c r="A40" t="s">
        <v>64</v>
      </c>
      <c r="B40" s="3">
        <v>45729</v>
      </c>
      <c r="C40">
        <v>27</v>
      </c>
      <c r="D40">
        <v>27</v>
      </c>
      <c r="E40">
        <v>25.8</v>
      </c>
      <c r="F40">
        <v>26.13</v>
      </c>
      <c r="G40">
        <v>27.01</v>
      </c>
      <c r="H40">
        <v>-0.88</v>
      </c>
      <c r="I40">
        <v>-3.2581</v>
      </c>
      <c r="J40">
        <v>154370.04</v>
      </c>
      <c r="K40">
        <v>404846.951</v>
      </c>
      <c r="L40" t="s">
        <v>103</v>
      </c>
      <c r="M40" t="s">
        <v>104</v>
      </c>
      <c r="N40" s="3">
        <v>45777</v>
      </c>
      <c r="O40">
        <v>39</v>
      </c>
      <c r="P40">
        <v>72</v>
      </c>
      <c r="Q40">
        <v>-33</v>
      </c>
      <c r="R40" t="s">
        <v>105</v>
      </c>
    </row>
    <row r="41" spans="1:18">
      <c r="A41" t="s">
        <v>64</v>
      </c>
      <c r="B41" s="3">
        <v>45730</v>
      </c>
      <c r="C41">
        <v>26.02</v>
      </c>
      <c r="D41">
        <v>26.6</v>
      </c>
      <c r="E41">
        <v>25.84</v>
      </c>
      <c r="F41">
        <v>26.53</v>
      </c>
      <c r="G41">
        <v>26.13</v>
      </c>
      <c r="H41">
        <v>0.4</v>
      </c>
      <c r="I41">
        <v>1.5308</v>
      </c>
      <c r="J41">
        <v>112162.2</v>
      </c>
      <c r="K41">
        <v>295049.729</v>
      </c>
      <c r="L41" t="s">
        <v>103</v>
      </c>
      <c r="M41" t="s">
        <v>104</v>
      </c>
      <c r="N41" s="3">
        <v>45777</v>
      </c>
      <c r="O41">
        <v>40</v>
      </c>
      <c r="P41">
        <v>72</v>
      </c>
      <c r="Q41">
        <v>-32</v>
      </c>
      <c r="R41" t="s">
        <v>105</v>
      </c>
    </row>
    <row r="42" spans="1:18">
      <c r="A42" t="s">
        <v>64</v>
      </c>
      <c r="B42" s="3">
        <v>45733</v>
      </c>
      <c r="C42">
        <v>26.6</v>
      </c>
      <c r="D42">
        <v>27</v>
      </c>
      <c r="E42">
        <v>26.2</v>
      </c>
      <c r="F42">
        <v>26.41</v>
      </c>
      <c r="G42">
        <v>26.53</v>
      </c>
      <c r="H42">
        <v>-0.12</v>
      </c>
      <c r="I42">
        <v>-0.4523</v>
      </c>
      <c r="J42">
        <v>102923.49</v>
      </c>
      <c r="K42">
        <v>273063.943</v>
      </c>
      <c r="L42" t="s">
        <v>103</v>
      </c>
      <c r="M42" t="s">
        <v>104</v>
      </c>
      <c r="N42" s="3">
        <v>45777</v>
      </c>
      <c r="O42">
        <v>41</v>
      </c>
      <c r="P42">
        <v>72</v>
      </c>
      <c r="Q42">
        <v>-31</v>
      </c>
      <c r="R42" t="s">
        <v>105</v>
      </c>
    </row>
    <row r="43" spans="1:18">
      <c r="A43" t="s">
        <v>64</v>
      </c>
      <c r="B43" s="3">
        <v>45734</v>
      </c>
      <c r="C43">
        <v>26.42</v>
      </c>
      <c r="D43">
        <v>26.87</v>
      </c>
      <c r="E43">
        <v>26.33</v>
      </c>
      <c r="F43">
        <v>26.6</v>
      </c>
      <c r="G43">
        <v>26.41</v>
      </c>
      <c r="H43">
        <v>0.19</v>
      </c>
      <c r="I43">
        <v>0.7194</v>
      </c>
      <c r="J43">
        <v>96317.29</v>
      </c>
      <c r="K43">
        <v>255935.794</v>
      </c>
      <c r="L43" t="s">
        <v>103</v>
      </c>
      <c r="M43" t="s">
        <v>104</v>
      </c>
      <c r="N43" s="3">
        <v>45777</v>
      </c>
      <c r="O43">
        <v>42</v>
      </c>
      <c r="P43">
        <v>72</v>
      </c>
      <c r="Q43">
        <v>-30</v>
      </c>
      <c r="R43" t="s">
        <v>105</v>
      </c>
    </row>
    <row r="44" spans="1:18">
      <c r="A44" t="s">
        <v>64</v>
      </c>
      <c r="B44" s="3">
        <v>45735</v>
      </c>
      <c r="C44">
        <v>26.51</v>
      </c>
      <c r="D44">
        <v>26.54</v>
      </c>
      <c r="E44">
        <v>26.03</v>
      </c>
      <c r="F44">
        <v>26.08</v>
      </c>
      <c r="G44">
        <v>26.6</v>
      </c>
      <c r="H44">
        <v>-0.52</v>
      </c>
      <c r="I44">
        <v>-1.9549</v>
      </c>
      <c r="J44">
        <v>82735.4</v>
      </c>
      <c r="K44">
        <v>217247.006</v>
      </c>
      <c r="L44" t="s">
        <v>103</v>
      </c>
      <c r="M44" t="s">
        <v>104</v>
      </c>
      <c r="N44" s="3">
        <v>45777</v>
      </c>
      <c r="O44">
        <v>43</v>
      </c>
      <c r="P44">
        <v>72</v>
      </c>
      <c r="Q44">
        <v>-29</v>
      </c>
      <c r="R44" t="s">
        <v>105</v>
      </c>
    </row>
    <row r="45" spans="1:18">
      <c r="A45" t="s">
        <v>64</v>
      </c>
      <c r="B45" s="3">
        <v>45736</v>
      </c>
      <c r="C45">
        <v>26.41</v>
      </c>
      <c r="D45">
        <v>26.82</v>
      </c>
      <c r="E45">
        <v>26.1</v>
      </c>
      <c r="F45">
        <v>26.3</v>
      </c>
      <c r="G45">
        <v>26.08</v>
      </c>
      <c r="H45">
        <v>0.22</v>
      </c>
      <c r="I45">
        <v>0.8436</v>
      </c>
      <c r="J45">
        <v>119940.4</v>
      </c>
      <c r="K45">
        <v>317030.554</v>
      </c>
      <c r="L45" t="s">
        <v>103</v>
      </c>
      <c r="M45" t="s">
        <v>104</v>
      </c>
      <c r="N45" s="3">
        <v>45777</v>
      </c>
      <c r="O45">
        <v>44</v>
      </c>
      <c r="P45">
        <v>72</v>
      </c>
      <c r="Q45">
        <v>-28</v>
      </c>
      <c r="R45" t="s">
        <v>105</v>
      </c>
    </row>
    <row r="46" spans="1:18">
      <c r="A46" t="s">
        <v>64</v>
      </c>
      <c r="B46" s="3">
        <v>45737</v>
      </c>
      <c r="C46">
        <v>26.2</v>
      </c>
      <c r="D46">
        <v>26.25</v>
      </c>
      <c r="E46">
        <v>25.28</v>
      </c>
      <c r="F46">
        <v>25.33</v>
      </c>
      <c r="G46">
        <v>26.3</v>
      </c>
      <c r="H46">
        <v>-0.97</v>
      </c>
      <c r="I46">
        <v>-3.6882</v>
      </c>
      <c r="J46">
        <v>101919.4</v>
      </c>
      <c r="K46">
        <v>262180.464</v>
      </c>
      <c r="L46" t="s">
        <v>103</v>
      </c>
      <c r="M46" t="s">
        <v>104</v>
      </c>
      <c r="N46" s="3">
        <v>45777</v>
      </c>
      <c r="O46">
        <v>45</v>
      </c>
      <c r="P46">
        <v>72</v>
      </c>
      <c r="Q46">
        <v>-27</v>
      </c>
      <c r="R46" t="s">
        <v>105</v>
      </c>
    </row>
    <row r="47" spans="1:18">
      <c r="A47" t="s">
        <v>64</v>
      </c>
      <c r="B47" s="3">
        <v>45740</v>
      </c>
      <c r="C47">
        <v>25.33</v>
      </c>
      <c r="D47">
        <v>25.67</v>
      </c>
      <c r="E47">
        <v>24.72</v>
      </c>
      <c r="F47">
        <v>25.66</v>
      </c>
      <c r="G47">
        <v>25.33</v>
      </c>
      <c r="H47">
        <v>0.33</v>
      </c>
      <c r="I47">
        <v>1.3028</v>
      </c>
      <c r="J47">
        <v>97340.01</v>
      </c>
      <c r="K47">
        <v>245565.447</v>
      </c>
      <c r="L47" t="s">
        <v>103</v>
      </c>
      <c r="M47" t="s">
        <v>104</v>
      </c>
      <c r="N47" s="3">
        <v>45777</v>
      </c>
      <c r="O47">
        <v>46</v>
      </c>
      <c r="P47">
        <v>72</v>
      </c>
      <c r="Q47">
        <v>-26</v>
      </c>
      <c r="R47" t="s">
        <v>105</v>
      </c>
    </row>
    <row r="48" spans="1:18">
      <c r="A48" t="s">
        <v>64</v>
      </c>
      <c r="B48" s="3">
        <v>45741</v>
      </c>
      <c r="C48">
        <v>25.68</v>
      </c>
      <c r="D48">
        <v>27.2</v>
      </c>
      <c r="E48">
        <v>25.6</v>
      </c>
      <c r="F48">
        <v>26.87</v>
      </c>
      <c r="G48">
        <v>25.66</v>
      </c>
      <c r="H48">
        <v>1.21</v>
      </c>
      <c r="I48">
        <v>4.7155</v>
      </c>
      <c r="J48">
        <v>241121.68</v>
      </c>
      <c r="K48">
        <v>641472.536</v>
      </c>
      <c r="L48" t="s">
        <v>103</v>
      </c>
      <c r="M48" t="s">
        <v>104</v>
      </c>
      <c r="N48" s="3">
        <v>45777</v>
      </c>
      <c r="O48">
        <v>47</v>
      </c>
      <c r="P48">
        <v>72</v>
      </c>
      <c r="Q48">
        <v>-25</v>
      </c>
      <c r="R48" t="s">
        <v>105</v>
      </c>
    </row>
    <row r="49" spans="1:18">
      <c r="A49" t="s">
        <v>64</v>
      </c>
      <c r="B49" s="3">
        <v>45742</v>
      </c>
      <c r="C49">
        <v>26.75</v>
      </c>
      <c r="D49">
        <v>28.22</v>
      </c>
      <c r="E49">
        <v>26.46</v>
      </c>
      <c r="F49">
        <v>27.56</v>
      </c>
      <c r="G49">
        <v>26.87</v>
      </c>
      <c r="H49">
        <v>0.69</v>
      </c>
      <c r="I49">
        <v>2.5679</v>
      </c>
      <c r="J49">
        <v>289820.4</v>
      </c>
      <c r="K49">
        <v>793161.314</v>
      </c>
      <c r="L49" t="s">
        <v>103</v>
      </c>
      <c r="M49" t="s">
        <v>104</v>
      </c>
      <c r="N49" s="3">
        <v>45777</v>
      </c>
      <c r="O49">
        <v>48</v>
      </c>
      <c r="P49">
        <v>72</v>
      </c>
      <c r="Q49">
        <v>-24</v>
      </c>
      <c r="R49" t="s">
        <v>105</v>
      </c>
    </row>
    <row r="50" spans="1:18">
      <c r="A50" t="s">
        <v>64</v>
      </c>
      <c r="B50" s="3">
        <v>45743</v>
      </c>
      <c r="C50">
        <v>28.1</v>
      </c>
      <c r="D50">
        <v>33.07</v>
      </c>
      <c r="E50">
        <v>27.08</v>
      </c>
      <c r="F50">
        <v>33.07</v>
      </c>
      <c r="G50">
        <v>27.56</v>
      </c>
      <c r="H50">
        <v>5.51</v>
      </c>
      <c r="I50">
        <v>19.9927</v>
      </c>
      <c r="J50">
        <v>548250.82</v>
      </c>
      <c r="K50">
        <v>1645864.191</v>
      </c>
      <c r="L50" t="s">
        <v>103</v>
      </c>
      <c r="M50" t="s">
        <v>104</v>
      </c>
      <c r="N50" s="3">
        <v>45777</v>
      </c>
      <c r="O50">
        <v>49</v>
      </c>
      <c r="P50">
        <v>72</v>
      </c>
      <c r="Q50">
        <v>-23</v>
      </c>
      <c r="R50" t="s">
        <v>105</v>
      </c>
    </row>
    <row r="51" spans="1:18">
      <c r="A51" t="s">
        <v>64</v>
      </c>
      <c r="B51" s="3">
        <v>45744</v>
      </c>
      <c r="C51">
        <v>38.94</v>
      </c>
      <c r="D51">
        <v>39.68</v>
      </c>
      <c r="E51">
        <v>36.66</v>
      </c>
      <c r="F51">
        <v>37.85</v>
      </c>
      <c r="G51">
        <v>33.07</v>
      </c>
      <c r="H51">
        <v>4.78</v>
      </c>
      <c r="I51">
        <v>14.4542</v>
      </c>
      <c r="J51">
        <v>1126417.77</v>
      </c>
      <c r="K51">
        <v>4304931.899</v>
      </c>
      <c r="L51" t="s">
        <v>103</v>
      </c>
      <c r="M51" t="s">
        <v>104</v>
      </c>
      <c r="N51" s="3">
        <v>45777</v>
      </c>
      <c r="O51">
        <v>50</v>
      </c>
      <c r="P51">
        <v>72</v>
      </c>
      <c r="Q51">
        <v>-22</v>
      </c>
      <c r="R51" t="s">
        <v>105</v>
      </c>
    </row>
    <row r="52" spans="1:18">
      <c r="A52" t="s">
        <v>64</v>
      </c>
      <c r="B52" s="3">
        <v>45747</v>
      </c>
      <c r="C52">
        <v>37.81</v>
      </c>
      <c r="D52">
        <v>40.89</v>
      </c>
      <c r="E52">
        <v>35.8</v>
      </c>
      <c r="F52">
        <v>36.6</v>
      </c>
      <c r="G52">
        <v>37.85</v>
      </c>
      <c r="H52">
        <v>-1.25</v>
      </c>
      <c r="I52">
        <v>-3.3025</v>
      </c>
      <c r="J52">
        <v>1016498.05</v>
      </c>
      <c r="K52">
        <v>3929383.145</v>
      </c>
      <c r="L52" t="s">
        <v>103</v>
      </c>
      <c r="M52" t="s">
        <v>104</v>
      </c>
      <c r="N52" s="3">
        <v>45777</v>
      </c>
      <c r="O52">
        <v>51</v>
      </c>
      <c r="P52">
        <v>72</v>
      </c>
      <c r="Q52">
        <v>-21</v>
      </c>
      <c r="R52" t="s">
        <v>105</v>
      </c>
    </row>
    <row r="53" spans="1:18">
      <c r="A53" t="s">
        <v>64</v>
      </c>
      <c r="B53" s="3">
        <v>45748</v>
      </c>
      <c r="C53">
        <v>36</v>
      </c>
      <c r="D53">
        <v>42</v>
      </c>
      <c r="E53">
        <v>35</v>
      </c>
      <c r="F53">
        <v>40.41</v>
      </c>
      <c r="G53">
        <v>36.6</v>
      </c>
      <c r="H53">
        <v>3.81</v>
      </c>
      <c r="I53">
        <v>10.4098</v>
      </c>
      <c r="J53">
        <v>972480.14</v>
      </c>
      <c r="K53">
        <v>3730893.922</v>
      </c>
      <c r="L53" t="s">
        <v>103</v>
      </c>
      <c r="M53" t="s">
        <v>104</v>
      </c>
      <c r="N53" s="3">
        <v>45777</v>
      </c>
      <c r="O53">
        <v>52</v>
      </c>
      <c r="P53">
        <v>72</v>
      </c>
      <c r="Q53">
        <v>-20</v>
      </c>
      <c r="R53" t="s">
        <v>105</v>
      </c>
    </row>
    <row r="54" spans="1:18">
      <c r="A54" t="s">
        <v>64</v>
      </c>
      <c r="B54" s="3">
        <v>45749</v>
      </c>
      <c r="C54">
        <v>40.3</v>
      </c>
      <c r="D54">
        <v>40.96</v>
      </c>
      <c r="E54">
        <v>37</v>
      </c>
      <c r="F54">
        <v>37.45</v>
      </c>
      <c r="G54">
        <v>40.41</v>
      </c>
      <c r="H54">
        <v>-2.96</v>
      </c>
      <c r="I54">
        <v>-7.3249</v>
      </c>
      <c r="J54">
        <v>779643.07</v>
      </c>
      <c r="K54">
        <v>2997179.217</v>
      </c>
      <c r="L54" t="s">
        <v>103</v>
      </c>
      <c r="M54" t="s">
        <v>104</v>
      </c>
      <c r="N54" s="3">
        <v>45777</v>
      </c>
      <c r="O54">
        <v>53</v>
      </c>
      <c r="P54">
        <v>72</v>
      </c>
      <c r="Q54">
        <v>-19</v>
      </c>
      <c r="R54" t="s">
        <v>105</v>
      </c>
    </row>
    <row r="55" spans="1:18">
      <c r="A55" t="s">
        <v>64</v>
      </c>
      <c r="B55" s="3">
        <v>45750</v>
      </c>
      <c r="C55">
        <v>36.01</v>
      </c>
      <c r="D55">
        <v>37.98</v>
      </c>
      <c r="E55">
        <v>34.38</v>
      </c>
      <c r="F55">
        <v>34.85</v>
      </c>
      <c r="G55">
        <v>37.45</v>
      </c>
      <c r="H55">
        <v>-2.6</v>
      </c>
      <c r="I55">
        <v>-6.9426</v>
      </c>
      <c r="J55">
        <v>676538.09</v>
      </c>
      <c r="K55">
        <v>2429102.12</v>
      </c>
      <c r="L55" t="s">
        <v>103</v>
      </c>
      <c r="M55" t="s">
        <v>104</v>
      </c>
      <c r="N55" s="3">
        <v>45777</v>
      </c>
      <c r="O55">
        <v>54</v>
      </c>
      <c r="P55">
        <v>72</v>
      </c>
      <c r="Q55">
        <v>-18</v>
      </c>
      <c r="R55" t="s">
        <v>105</v>
      </c>
    </row>
    <row r="56" spans="1:18">
      <c r="A56" t="s">
        <v>64</v>
      </c>
      <c r="B56" s="3">
        <v>45754</v>
      </c>
      <c r="C56">
        <v>33.64</v>
      </c>
      <c r="D56">
        <v>37.88</v>
      </c>
      <c r="E56">
        <v>33.1</v>
      </c>
      <c r="F56">
        <v>35.3</v>
      </c>
      <c r="G56">
        <v>34.85</v>
      </c>
      <c r="H56">
        <v>0.45</v>
      </c>
      <c r="I56">
        <v>1.2912</v>
      </c>
      <c r="J56">
        <v>864714.27</v>
      </c>
      <c r="K56">
        <v>3144182.859</v>
      </c>
      <c r="L56" t="s">
        <v>103</v>
      </c>
      <c r="M56" t="s">
        <v>104</v>
      </c>
      <c r="N56" s="3">
        <v>45777</v>
      </c>
      <c r="O56">
        <v>55</v>
      </c>
      <c r="P56">
        <v>72</v>
      </c>
      <c r="Q56">
        <v>-17</v>
      </c>
      <c r="R56" t="s">
        <v>105</v>
      </c>
    </row>
    <row r="57" spans="1:18">
      <c r="A57" t="s">
        <v>64</v>
      </c>
      <c r="B57" s="3">
        <v>45755</v>
      </c>
      <c r="C57">
        <v>35.9</v>
      </c>
      <c r="D57">
        <v>39.44</v>
      </c>
      <c r="E57">
        <v>35.11</v>
      </c>
      <c r="F57">
        <v>39.25</v>
      </c>
      <c r="G57">
        <v>35.3</v>
      </c>
      <c r="H57">
        <v>3.95</v>
      </c>
      <c r="I57">
        <v>11.1898</v>
      </c>
      <c r="J57">
        <v>888294.13</v>
      </c>
      <c r="K57">
        <v>3291410.749</v>
      </c>
      <c r="L57" t="s">
        <v>103</v>
      </c>
      <c r="M57" t="s">
        <v>104</v>
      </c>
      <c r="N57" s="3">
        <v>45777</v>
      </c>
      <c r="O57">
        <v>56</v>
      </c>
      <c r="P57">
        <v>72</v>
      </c>
      <c r="Q57">
        <v>-16</v>
      </c>
      <c r="R57" t="s">
        <v>105</v>
      </c>
    </row>
    <row r="58" spans="1:18">
      <c r="A58" t="s">
        <v>64</v>
      </c>
      <c r="B58" s="3">
        <v>45756</v>
      </c>
      <c r="C58">
        <v>37.24</v>
      </c>
      <c r="D58">
        <v>39.2</v>
      </c>
      <c r="E58">
        <v>32.18</v>
      </c>
      <c r="F58">
        <v>37.79</v>
      </c>
      <c r="G58">
        <v>39.25</v>
      </c>
      <c r="H58">
        <v>-1.46</v>
      </c>
      <c r="I58">
        <v>-3.7197</v>
      </c>
      <c r="J58">
        <v>768387.36</v>
      </c>
      <c r="K58">
        <v>2823091.331</v>
      </c>
      <c r="L58" t="s">
        <v>103</v>
      </c>
      <c r="M58" t="s">
        <v>104</v>
      </c>
      <c r="N58" s="3">
        <v>45777</v>
      </c>
      <c r="O58">
        <v>57</v>
      </c>
      <c r="P58">
        <v>72</v>
      </c>
      <c r="Q58">
        <v>-15</v>
      </c>
      <c r="R58" t="s">
        <v>105</v>
      </c>
    </row>
    <row r="59" spans="1:18">
      <c r="A59" t="s">
        <v>64</v>
      </c>
      <c r="B59" s="3">
        <v>45757</v>
      </c>
      <c r="C59">
        <v>36.78</v>
      </c>
      <c r="D59">
        <v>43.33</v>
      </c>
      <c r="E59">
        <v>36.66</v>
      </c>
      <c r="F59">
        <v>39.51</v>
      </c>
      <c r="G59">
        <v>37.79</v>
      </c>
      <c r="H59">
        <v>1.72</v>
      </c>
      <c r="I59">
        <v>4.5515</v>
      </c>
      <c r="J59">
        <v>865371.8</v>
      </c>
      <c r="K59">
        <v>3440407.587</v>
      </c>
      <c r="L59" t="s">
        <v>103</v>
      </c>
      <c r="M59" t="s">
        <v>104</v>
      </c>
      <c r="N59" s="3">
        <v>45777</v>
      </c>
      <c r="O59">
        <v>58</v>
      </c>
      <c r="P59">
        <v>72</v>
      </c>
      <c r="Q59">
        <v>-14</v>
      </c>
      <c r="R59" t="s">
        <v>105</v>
      </c>
    </row>
    <row r="60" spans="1:18">
      <c r="A60" t="s">
        <v>64</v>
      </c>
      <c r="B60" s="3">
        <v>45758</v>
      </c>
      <c r="C60">
        <v>39.53</v>
      </c>
      <c r="D60">
        <v>42.99</v>
      </c>
      <c r="E60">
        <v>38.5</v>
      </c>
      <c r="F60">
        <v>38.82</v>
      </c>
      <c r="G60">
        <v>39.51</v>
      </c>
      <c r="H60">
        <v>-0.69</v>
      </c>
      <c r="I60">
        <v>-1.7464</v>
      </c>
      <c r="J60">
        <v>832230.71</v>
      </c>
      <c r="K60">
        <v>3404120.256</v>
      </c>
      <c r="L60" t="s">
        <v>103</v>
      </c>
      <c r="M60" t="s">
        <v>104</v>
      </c>
      <c r="N60" s="3">
        <v>45777</v>
      </c>
      <c r="O60">
        <v>59</v>
      </c>
      <c r="P60">
        <v>72</v>
      </c>
      <c r="Q60">
        <v>-13</v>
      </c>
      <c r="R60" t="s">
        <v>105</v>
      </c>
    </row>
    <row r="61" spans="1:18">
      <c r="A61" t="s">
        <v>64</v>
      </c>
      <c r="B61" s="3">
        <v>45761</v>
      </c>
      <c r="C61">
        <v>39.79</v>
      </c>
      <c r="D61">
        <v>40.24</v>
      </c>
      <c r="E61">
        <v>37.84</v>
      </c>
      <c r="F61">
        <v>39.77</v>
      </c>
      <c r="G61">
        <v>38.82</v>
      </c>
      <c r="H61">
        <v>0.95</v>
      </c>
      <c r="I61">
        <v>2.4472</v>
      </c>
      <c r="J61">
        <v>664789.96</v>
      </c>
      <c r="K61">
        <v>2592660.096</v>
      </c>
      <c r="L61" t="s">
        <v>103</v>
      </c>
      <c r="M61" t="s">
        <v>104</v>
      </c>
      <c r="N61" s="3">
        <v>45777</v>
      </c>
      <c r="O61">
        <v>60</v>
      </c>
      <c r="P61">
        <v>72</v>
      </c>
      <c r="Q61">
        <v>-12</v>
      </c>
      <c r="R61" t="s">
        <v>105</v>
      </c>
    </row>
    <row r="62" spans="1:18">
      <c r="A62" t="s">
        <v>64</v>
      </c>
      <c r="B62" s="3">
        <v>45762</v>
      </c>
      <c r="C62">
        <v>38.85</v>
      </c>
      <c r="D62">
        <v>39.4</v>
      </c>
      <c r="E62">
        <v>36.55</v>
      </c>
      <c r="F62">
        <v>36.82</v>
      </c>
      <c r="G62">
        <v>39.77</v>
      </c>
      <c r="H62">
        <v>-2.95</v>
      </c>
      <c r="I62">
        <v>-7.4177</v>
      </c>
      <c r="J62">
        <v>562120.89</v>
      </c>
      <c r="K62">
        <v>2120011.454</v>
      </c>
      <c r="L62" t="s">
        <v>103</v>
      </c>
      <c r="M62" t="s">
        <v>104</v>
      </c>
      <c r="N62" s="3">
        <v>45777</v>
      </c>
      <c r="O62">
        <v>61</v>
      </c>
      <c r="P62">
        <v>72</v>
      </c>
      <c r="Q62">
        <v>-11</v>
      </c>
      <c r="R62" t="s">
        <v>105</v>
      </c>
    </row>
    <row r="63" spans="1:18">
      <c r="A63" t="s">
        <v>64</v>
      </c>
      <c r="B63" s="3">
        <v>45763</v>
      </c>
      <c r="C63">
        <v>37.55</v>
      </c>
      <c r="D63">
        <v>37.94</v>
      </c>
      <c r="E63">
        <v>35.78</v>
      </c>
      <c r="F63">
        <v>36.28</v>
      </c>
      <c r="G63">
        <v>36.82</v>
      </c>
      <c r="H63">
        <v>-0.54</v>
      </c>
      <c r="I63">
        <v>-1.4666</v>
      </c>
      <c r="J63">
        <v>396404.83</v>
      </c>
      <c r="K63">
        <v>1462886.893</v>
      </c>
      <c r="L63" t="s">
        <v>103</v>
      </c>
      <c r="M63" t="s">
        <v>104</v>
      </c>
      <c r="N63" s="3">
        <v>45777</v>
      </c>
      <c r="O63">
        <v>62</v>
      </c>
      <c r="P63">
        <v>72</v>
      </c>
      <c r="Q63">
        <v>-10</v>
      </c>
      <c r="R63" t="s">
        <v>105</v>
      </c>
    </row>
    <row r="64" spans="1:18">
      <c r="A64" t="s">
        <v>64</v>
      </c>
      <c r="B64" s="3">
        <v>45764</v>
      </c>
      <c r="C64">
        <v>36.29</v>
      </c>
      <c r="D64">
        <v>37.6</v>
      </c>
      <c r="E64">
        <v>35.71</v>
      </c>
      <c r="F64">
        <v>36</v>
      </c>
      <c r="G64">
        <v>36.28</v>
      </c>
      <c r="H64">
        <v>-0.28</v>
      </c>
      <c r="I64">
        <v>-0.7718</v>
      </c>
      <c r="J64">
        <v>433835.44</v>
      </c>
      <c r="K64">
        <v>1590876.369</v>
      </c>
      <c r="L64" t="s">
        <v>103</v>
      </c>
      <c r="M64" t="s">
        <v>104</v>
      </c>
      <c r="N64" s="3">
        <v>45777</v>
      </c>
      <c r="O64">
        <v>63</v>
      </c>
      <c r="P64">
        <v>72</v>
      </c>
      <c r="Q64">
        <v>-9</v>
      </c>
      <c r="R64" t="s">
        <v>105</v>
      </c>
    </row>
    <row r="65" spans="1:19">
      <c r="A65" t="s">
        <v>64</v>
      </c>
      <c r="B65" s="3">
        <v>45765</v>
      </c>
      <c r="C65">
        <v>36.63</v>
      </c>
      <c r="D65">
        <v>36.68</v>
      </c>
      <c r="E65">
        <v>33.99</v>
      </c>
      <c r="F65">
        <v>34.09</v>
      </c>
      <c r="G65">
        <v>36</v>
      </c>
      <c r="H65">
        <v>-1.91</v>
      </c>
      <c r="I65">
        <v>-5.3056</v>
      </c>
      <c r="J65">
        <v>430378.83</v>
      </c>
      <c r="K65">
        <v>1489935.004</v>
      </c>
      <c r="L65" t="s">
        <v>103</v>
      </c>
      <c r="M65" t="s">
        <v>104</v>
      </c>
      <c r="N65" s="3">
        <v>45777</v>
      </c>
      <c r="O65">
        <v>64</v>
      </c>
      <c r="P65">
        <v>72</v>
      </c>
      <c r="Q65">
        <v>-8</v>
      </c>
      <c r="R65" t="s">
        <v>105</v>
      </c>
    </row>
    <row r="66" spans="1:19">
      <c r="A66" t="s">
        <v>64</v>
      </c>
      <c r="B66" s="3">
        <v>45768</v>
      </c>
      <c r="C66">
        <v>34</v>
      </c>
      <c r="D66">
        <v>35.18</v>
      </c>
      <c r="E66">
        <v>33.33</v>
      </c>
      <c r="F66">
        <v>34.9</v>
      </c>
      <c r="G66">
        <v>34.09</v>
      </c>
      <c r="H66">
        <v>0.81</v>
      </c>
      <c r="I66">
        <v>2.3761</v>
      </c>
      <c r="J66">
        <v>330324</v>
      </c>
      <c r="K66">
        <v>1136469.287</v>
      </c>
      <c r="L66" t="s">
        <v>103</v>
      </c>
      <c r="M66" t="s">
        <v>104</v>
      </c>
      <c r="N66" s="3">
        <v>45777</v>
      </c>
      <c r="O66">
        <v>65</v>
      </c>
      <c r="P66">
        <v>72</v>
      </c>
      <c r="Q66">
        <v>-7</v>
      </c>
      <c r="R66" t="s">
        <v>105</v>
      </c>
    </row>
    <row r="67" spans="1:19">
      <c r="A67" t="s">
        <v>64</v>
      </c>
      <c r="B67" s="3">
        <v>45769</v>
      </c>
      <c r="C67">
        <v>34.51</v>
      </c>
      <c r="D67">
        <v>37.72</v>
      </c>
      <c r="E67">
        <v>34.13</v>
      </c>
      <c r="F67">
        <v>36.38</v>
      </c>
      <c r="G67">
        <v>34.9</v>
      </c>
      <c r="H67">
        <v>1.48</v>
      </c>
      <c r="I67">
        <v>4.2407</v>
      </c>
      <c r="J67">
        <v>531629.9</v>
      </c>
      <c r="K67">
        <v>1904850.826</v>
      </c>
      <c r="L67" t="s">
        <v>103</v>
      </c>
      <c r="M67" t="s">
        <v>104</v>
      </c>
      <c r="N67" s="3">
        <v>45777</v>
      </c>
      <c r="O67">
        <v>66</v>
      </c>
      <c r="P67">
        <v>72</v>
      </c>
      <c r="Q67">
        <v>-6</v>
      </c>
      <c r="R67" t="s">
        <v>105</v>
      </c>
    </row>
    <row r="68" spans="1:19">
      <c r="A68" t="s">
        <v>64</v>
      </c>
      <c r="B68" s="3">
        <v>45770</v>
      </c>
      <c r="C68">
        <v>35.58</v>
      </c>
      <c r="D68">
        <v>35.58</v>
      </c>
      <c r="E68">
        <v>34.64</v>
      </c>
      <c r="F68">
        <v>34.64</v>
      </c>
      <c r="G68">
        <v>36.38</v>
      </c>
      <c r="H68">
        <v>-1.74</v>
      </c>
      <c r="I68">
        <v>-4.7828</v>
      </c>
      <c r="J68">
        <v>403122.99</v>
      </c>
      <c r="K68">
        <v>1411552.473</v>
      </c>
      <c r="L68" t="s">
        <v>103</v>
      </c>
      <c r="M68" t="s">
        <v>104</v>
      </c>
      <c r="N68" s="3">
        <v>45777</v>
      </c>
      <c r="O68">
        <v>67</v>
      </c>
      <c r="P68">
        <v>72</v>
      </c>
      <c r="Q68">
        <v>-5</v>
      </c>
      <c r="R68" t="s">
        <v>105</v>
      </c>
    </row>
    <row r="69" spans="1:19">
      <c r="A69" t="s">
        <v>64</v>
      </c>
      <c r="B69" s="3">
        <v>45771</v>
      </c>
      <c r="C69">
        <v>34.2</v>
      </c>
      <c r="D69">
        <v>34.4</v>
      </c>
      <c r="E69">
        <v>32.64</v>
      </c>
      <c r="F69">
        <v>32.7</v>
      </c>
      <c r="G69">
        <v>34.64</v>
      </c>
      <c r="H69">
        <v>-1.94</v>
      </c>
      <c r="I69">
        <v>-5.6005</v>
      </c>
      <c r="J69">
        <v>356210.72</v>
      </c>
      <c r="K69">
        <v>1185024.203</v>
      </c>
      <c r="L69" t="s">
        <v>103</v>
      </c>
      <c r="M69" t="s">
        <v>104</v>
      </c>
      <c r="N69" s="3">
        <v>45777</v>
      </c>
      <c r="O69">
        <v>68</v>
      </c>
      <c r="P69">
        <v>72</v>
      </c>
      <c r="Q69">
        <v>-4</v>
      </c>
      <c r="R69" t="s">
        <v>105</v>
      </c>
    </row>
    <row r="70" spans="1:19">
      <c r="A70" t="s">
        <v>64</v>
      </c>
      <c r="B70" s="3">
        <v>45772</v>
      </c>
      <c r="C70">
        <v>32.7</v>
      </c>
      <c r="D70">
        <v>33.33</v>
      </c>
      <c r="E70">
        <v>32.27</v>
      </c>
      <c r="F70">
        <v>32.53</v>
      </c>
      <c r="G70">
        <v>32.7</v>
      </c>
      <c r="H70">
        <v>-0.17</v>
      </c>
      <c r="I70">
        <v>-0.5199</v>
      </c>
      <c r="J70">
        <v>233621.13</v>
      </c>
      <c r="K70">
        <v>763933.672</v>
      </c>
      <c r="L70" t="s">
        <v>103</v>
      </c>
      <c r="M70" t="s">
        <v>104</v>
      </c>
      <c r="N70" s="3">
        <v>45777</v>
      </c>
      <c r="O70">
        <v>69</v>
      </c>
      <c r="P70">
        <v>72</v>
      </c>
      <c r="Q70">
        <v>-3</v>
      </c>
      <c r="R70" t="s">
        <v>105</v>
      </c>
    </row>
    <row r="71" spans="1:19">
      <c r="A71" t="s">
        <v>64</v>
      </c>
      <c r="B71" s="3">
        <v>45775</v>
      </c>
      <c r="C71">
        <v>32.2</v>
      </c>
      <c r="D71">
        <v>32.43</v>
      </c>
      <c r="E71">
        <v>31.35</v>
      </c>
      <c r="F71">
        <v>31.35</v>
      </c>
      <c r="G71">
        <v>32.53</v>
      </c>
      <c r="H71">
        <v>-1.18</v>
      </c>
      <c r="I71">
        <v>-3.6274</v>
      </c>
      <c r="J71">
        <v>230043.68</v>
      </c>
      <c r="K71">
        <v>728529.084</v>
      </c>
      <c r="L71" t="s">
        <v>103</v>
      </c>
      <c r="M71" t="s">
        <v>104</v>
      </c>
      <c r="N71" s="3">
        <v>45777</v>
      </c>
      <c r="O71">
        <v>70</v>
      </c>
      <c r="P71">
        <v>72</v>
      </c>
      <c r="Q71">
        <v>-2</v>
      </c>
      <c r="R71" t="s">
        <v>105</v>
      </c>
    </row>
    <row r="72" spans="1:19">
      <c r="A72" t="s">
        <v>64</v>
      </c>
      <c r="B72" s="3">
        <v>45776</v>
      </c>
      <c r="C72">
        <v>31</v>
      </c>
      <c r="D72">
        <v>31.58</v>
      </c>
      <c r="E72">
        <v>30.71</v>
      </c>
      <c r="F72">
        <v>31.32</v>
      </c>
      <c r="G72">
        <v>31.35</v>
      </c>
      <c r="H72">
        <v>-0.03</v>
      </c>
      <c r="I72">
        <v>-0.0957</v>
      </c>
      <c r="J72">
        <v>159691.8</v>
      </c>
      <c r="K72">
        <v>499371.836</v>
      </c>
      <c r="L72" t="s">
        <v>103</v>
      </c>
      <c r="M72" t="s">
        <v>104</v>
      </c>
      <c r="N72" s="3">
        <v>45777</v>
      </c>
      <c r="O72">
        <v>71</v>
      </c>
      <c r="P72">
        <v>72</v>
      </c>
      <c r="Q72">
        <v>-1</v>
      </c>
      <c r="R72" t="s">
        <v>105</v>
      </c>
    </row>
    <row r="73" spans="1:19">
      <c r="A73" t="s">
        <v>64</v>
      </c>
      <c r="B73" s="3">
        <v>45777</v>
      </c>
      <c r="C73">
        <v>31.32</v>
      </c>
      <c r="D73">
        <v>32.26</v>
      </c>
      <c r="E73">
        <v>31.2</v>
      </c>
      <c r="F73">
        <v>31.82</v>
      </c>
      <c r="G73">
        <v>31.32</v>
      </c>
      <c r="H73">
        <v>0.5</v>
      </c>
      <c r="I73">
        <v>1.5964</v>
      </c>
      <c r="J73">
        <v>207597.64</v>
      </c>
      <c r="K73">
        <v>661617.545</v>
      </c>
      <c r="L73" t="s">
        <v>103</v>
      </c>
      <c r="M73" t="s">
        <v>104</v>
      </c>
      <c r="N73" s="3">
        <v>45777</v>
      </c>
      <c r="O73">
        <v>72</v>
      </c>
      <c r="P73">
        <v>72</v>
      </c>
      <c r="Q73">
        <v>0</v>
      </c>
      <c r="R73" t="s">
        <v>106</v>
      </c>
      <c r="S73" t="s">
        <v>165</v>
      </c>
    </row>
    <row r="74" spans="1:19">
      <c r="A74" t="s">
        <v>64</v>
      </c>
      <c r="B74" s="3">
        <v>45783</v>
      </c>
      <c r="C74">
        <v>32.8</v>
      </c>
      <c r="D74">
        <v>34.19</v>
      </c>
      <c r="E74">
        <v>32.66</v>
      </c>
      <c r="F74">
        <v>33.91</v>
      </c>
      <c r="G74">
        <v>31.82</v>
      </c>
      <c r="H74">
        <v>2.09</v>
      </c>
      <c r="I74">
        <v>6.5682</v>
      </c>
      <c r="J74">
        <v>333316.35</v>
      </c>
      <c r="K74">
        <v>1115984.221</v>
      </c>
      <c r="L74" t="s">
        <v>103</v>
      </c>
      <c r="M74" t="s">
        <v>104</v>
      </c>
      <c r="N74" s="3">
        <v>45777</v>
      </c>
      <c r="O74">
        <v>73</v>
      </c>
      <c r="P74">
        <v>72</v>
      </c>
      <c r="Q74">
        <v>1</v>
      </c>
      <c r="R74" t="s">
        <v>107</v>
      </c>
    </row>
    <row r="75" spans="1:19">
      <c r="A75" t="s">
        <v>64</v>
      </c>
      <c r="B75" s="3">
        <v>45784</v>
      </c>
      <c r="C75">
        <v>34.32</v>
      </c>
      <c r="D75">
        <v>35.51</v>
      </c>
      <c r="E75">
        <v>33.87</v>
      </c>
      <c r="F75">
        <v>34.52</v>
      </c>
      <c r="G75">
        <v>33.91</v>
      </c>
      <c r="H75">
        <v>0.61</v>
      </c>
      <c r="I75">
        <v>1.7989</v>
      </c>
      <c r="J75">
        <v>441669.8</v>
      </c>
      <c r="K75">
        <v>1532176.716</v>
      </c>
      <c r="L75" t="s">
        <v>103</v>
      </c>
      <c r="M75" t="s">
        <v>104</v>
      </c>
      <c r="N75" s="3">
        <v>45777</v>
      </c>
      <c r="O75">
        <v>74</v>
      </c>
      <c r="P75">
        <v>72</v>
      </c>
      <c r="Q75">
        <v>2</v>
      </c>
      <c r="R75" t="s">
        <v>107</v>
      </c>
    </row>
    <row r="76" spans="1:19">
      <c r="A76" t="s">
        <v>64</v>
      </c>
      <c r="B76" s="3">
        <v>45785</v>
      </c>
      <c r="C76">
        <v>34.2</v>
      </c>
      <c r="D76">
        <v>34.75</v>
      </c>
      <c r="E76">
        <v>33.55</v>
      </c>
      <c r="F76">
        <v>34.11</v>
      </c>
      <c r="G76">
        <v>34.52</v>
      </c>
      <c r="H76">
        <v>-0.41</v>
      </c>
      <c r="I76">
        <v>-1.1877</v>
      </c>
      <c r="J76">
        <v>268562.82</v>
      </c>
      <c r="K76">
        <v>915602.151</v>
      </c>
      <c r="L76" t="s">
        <v>103</v>
      </c>
      <c r="M76" t="s">
        <v>104</v>
      </c>
      <c r="N76" s="3">
        <v>45777</v>
      </c>
      <c r="O76">
        <v>75</v>
      </c>
      <c r="P76">
        <v>72</v>
      </c>
      <c r="Q76">
        <v>3</v>
      </c>
      <c r="R76" t="s">
        <v>107</v>
      </c>
    </row>
    <row r="77" spans="1:19">
      <c r="A77" t="s">
        <v>64</v>
      </c>
      <c r="B77" s="3">
        <v>45786</v>
      </c>
      <c r="C77">
        <v>33.89</v>
      </c>
      <c r="D77">
        <v>34.1</v>
      </c>
      <c r="E77">
        <v>32.3</v>
      </c>
      <c r="F77">
        <v>32.45</v>
      </c>
      <c r="G77">
        <v>34.11</v>
      </c>
      <c r="H77">
        <v>-1.66</v>
      </c>
      <c r="I77">
        <v>-4.8666</v>
      </c>
      <c r="J77">
        <v>249599.36</v>
      </c>
      <c r="K77">
        <v>816771.283</v>
      </c>
      <c r="L77" t="s">
        <v>103</v>
      </c>
      <c r="M77" t="s">
        <v>104</v>
      </c>
      <c r="N77" s="3">
        <v>45777</v>
      </c>
      <c r="O77">
        <v>76</v>
      </c>
      <c r="P77">
        <v>72</v>
      </c>
      <c r="Q77">
        <v>4</v>
      </c>
      <c r="R77" t="s">
        <v>107</v>
      </c>
    </row>
    <row r="78" spans="1:19">
      <c r="A78" t="s">
        <v>64</v>
      </c>
      <c r="B78" s="3">
        <v>45789</v>
      </c>
      <c r="C78">
        <v>32.71</v>
      </c>
      <c r="D78">
        <v>32.85</v>
      </c>
      <c r="E78">
        <v>32.18</v>
      </c>
      <c r="F78">
        <v>32.53</v>
      </c>
      <c r="G78">
        <v>32.45</v>
      </c>
      <c r="H78">
        <v>0.08</v>
      </c>
      <c r="I78">
        <v>0.2465</v>
      </c>
      <c r="J78">
        <v>167240.92</v>
      </c>
      <c r="K78">
        <v>542554.951</v>
      </c>
      <c r="L78" t="s">
        <v>103</v>
      </c>
      <c r="M78" t="s">
        <v>104</v>
      </c>
      <c r="N78" s="3">
        <v>45777</v>
      </c>
      <c r="O78">
        <v>77</v>
      </c>
      <c r="P78">
        <v>72</v>
      </c>
      <c r="Q78">
        <v>5</v>
      </c>
      <c r="R78" t="s">
        <v>107</v>
      </c>
    </row>
    <row r="79" spans="1:19">
      <c r="A79" t="s">
        <v>64</v>
      </c>
      <c r="B79" s="3">
        <v>45790</v>
      </c>
      <c r="C79">
        <v>32.69</v>
      </c>
      <c r="D79">
        <v>33.79</v>
      </c>
      <c r="E79">
        <v>32.02</v>
      </c>
      <c r="F79">
        <v>32.95</v>
      </c>
      <c r="G79">
        <v>32.53</v>
      </c>
      <c r="H79">
        <v>0.42</v>
      </c>
      <c r="I79">
        <v>1.2911</v>
      </c>
      <c r="J79">
        <v>319461.28</v>
      </c>
      <c r="K79">
        <v>1048956.143</v>
      </c>
      <c r="L79" t="s">
        <v>103</v>
      </c>
      <c r="M79" t="s">
        <v>104</v>
      </c>
      <c r="N79" s="3">
        <v>45777</v>
      </c>
      <c r="O79">
        <v>78</v>
      </c>
      <c r="P79">
        <v>72</v>
      </c>
      <c r="Q79">
        <v>6</v>
      </c>
      <c r="R79" t="s">
        <v>166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66</v>
      </c>
    </row>
    <row r="3" ht="28" spans="1:2">
      <c r="A3" s="5" t="s">
        <v>75</v>
      </c>
      <c r="B3" s="6" t="s">
        <v>67</v>
      </c>
    </row>
    <row r="4" spans="1:2">
      <c r="A4" s="5" t="s">
        <v>2</v>
      </c>
      <c r="B4" s="7">
        <v>45294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45294</v>
      </c>
    </row>
    <row r="9" spans="1:2">
      <c r="A9" s="5" t="s">
        <v>1</v>
      </c>
      <c r="B9">
        <v>1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22</v>
      </c>
    </row>
    <row r="13" ht="42" spans="1:2">
      <c r="A13" s="5" t="s">
        <v>80</v>
      </c>
      <c r="B13" s="9" t="s">
        <v>167</v>
      </c>
    </row>
    <row r="14" spans="1:2">
      <c r="A14" s="5" t="s">
        <v>13</v>
      </c>
      <c r="B14" s="9" t="s">
        <v>121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66</v>
      </c>
      <c r="B2" s="3">
        <v>45194</v>
      </c>
      <c r="C2">
        <v>23.25</v>
      </c>
      <c r="D2">
        <v>23.49</v>
      </c>
      <c r="E2">
        <v>22.86</v>
      </c>
      <c r="F2">
        <v>23.23</v>
      </c>
      <c r="G2">
        <v>23.23</v>
      </c>
      <c r="H2">
        <v>0</v>
      </c>
      <c r="I2">
        <v>0</v>
      </c>
      <c r="J2">
        <v>14272.3</v>
      </c>
      <c r="K2">
        <v>33036.175</v>
      </c>
      <c r="L2" t="s">
        <v>103</v>
      </c>
      <c r="M2" t="s">
        <v>104</v>
      </c>
      <c r="N2" s="3">
        <v>45294</v>
      </c>
      <c r="O2">
        <v>1</v>
      </c>
      <c r="P2">
        <v>66</v>
      </c>
      <c r="Q2">
        <v>-65</v>
      </c>
      <c r="R2" t="s">
        <v>105</v>
      </c>
    </row>
    <row r="3" spans="1:19">
      <c r="A3" t="s">
        <v>66</v>
      </c>
      <c r="B3" s="3">
        <v>45195</v>
      </c>
      <c r="C3">
        <v>23.28</v>
      </c>
      <c r="D3">
        <v>23.39</v>
      </c>
      <c r="E3">
        <v>23.05</v>
      </c>
      <c r="F3">
        <v>23.14</v>
      </c>
      <c r="G3">
        <v>23.23</v>
      </c>
      <c r="H3">
        <v>-0.09</v>
      </c>
      <c r="I3">
        <v>-0.3874</v>
      </c>
      <c r="J3">
        <v>10843.04</v>
      </c>
      <c r="K3">
        <v>25164.44</v>
      </c>
      <c r="L3" t="s">
        <v>103</v>
      </c>
      <c r="M3" t="s">
        <v>104</v>
      </c>
      <c r="N3" s="3">
        <v>45294</v>
      </c>
      <c r="O3">
        <v>2</v>
      </c>
      <c r="P3">
        <v>66</v>
      </c>
      <c r="Q3">
        <v>-64</v>
      </c>
      <c r="R3" t="s">
        <v>105</v>
      </c>
    </row>
    <row r="4" spans="1:19">
      <c r="A4" t="s">
        <v>66</v>
      </c>
      <c r="B4" s="3">
        <v>45196</v>
      </c>
      <c r="C4">
        <v>23.12</v>
      </c>
      <c r="D4">
        <v>23.35</v>
      </c>
      <c r="E4">
        <v>22.81</v>
      </c>
      <c r="F4">
        <v>23.06</v>
      </c>
      <c r="G4">
        <v>23.14</v>
      </c>
      <c r="H4">
        <v>-0.08</v>
      </c>
      <c r="I4">
        <v>-0.3457</v>
      </c>
      <c r="J4">
        <v>13104.04</v>
      </c>
      <c r="K4">
        <v>30299.791</v>
      </c>
      <c r="L4" t="s">
        <v>103</v>
      </c>
      <c r="M4" t="s">
        <v>104</v>
      </c>
      <c r="N4" s="3">
        <v>45294</v>
      </c>
      <c r="O4">
        <v>3</v>
      </c>
      <c r="P4">
        <v>66</v>
      </c>
      <c r="Q4">
        <v>-63</v>
      </c>
      <c r="R4" t="s">
        <v>105</v>
      </c>
    </row>
    <row r="5" spans="1:19">
      <c r="A5" t="s">
        <v>66</v>
      </c>
      <c r="B5" s="3">
        <v>45197</v>
      </c>
      <c r="C5">
        <v>23.03</v>
      </c>
      <c r="D5">
        <v>23.68</v>
      </c>
      <c r="E5">
        <v>23.03</v>
      </c>
      <c r="F5">
        <v>23.58</v>
      </c>
      <c r="G5">
        <v>23.06</v>
      </c>
      <c r="H5">
        <v>0.52</v>
      </c>
      <c r="I5">
        <v>2.255</v>
      </c>
      <c r="J5">
        <v>14592.7</v>
      </c>
      <c r="K5">
        <v>34278.716</v>
      </c>
      <c r="L5" t="s">
        <v>103</v>
      </c>
      <c r="M5" t="s">
        <v>104</v>
      </c>
      <c r="N5" s="3">
        <v>45294</v>
      </c>
      <c r="O5">
        <v>4</v>
      </c>
      <c r="P5">
        <v>66</v>
      </c>
      <c r="Q5">
        <v>-62</v>
      </c>
      <c r="R5" t="s">
        <v>105</v>
      </c>
    </row>
    <row r="6" spans="1:19">
      <c r="A6" t="s">
        <v>66</v>
      </c>
      <c r="B6" s="3">
        <v>45208</v>
      </c>
      <c r="C6">
        <v>23.72</v>
      </c>
      <c r="D6">
        <v>23.98</v>
      </c>
      <c r="E6">
        <v>23.2</v>
      </c>
      <c r="F6">
        <v>23.69</v>
      </c>
      <c r="G6">
        <v>23.58</v>
      </c>
      <c r="H6">
        <v>0.11</v>
      </c>
      <c r="I6">
        <v>0.4665</v>
      </c>
      <c r="J6">
        <v>19114.3</v>
      </c>
      <c r="K6">
        <v>45046.199</v>
      </c>
      <c r="L6" t="s">
        <v>103</v>
      </c>
      <c r="M6" t="s">
        <v>104</v>
      </c>
      <c r="N6" s="3">
        <v>45294</v>
      </c>
      <c r="O6">
        <v>5</v>
      </c>
      <c r="P6">
        <v>66</v>
      </c>
      <c r="Q6">
        <v>-61</v>
      </c>
      <c r="R6" t="s">
        <v>105</v>
      </c>
    </row>
    <row r="7" spans="1:19">
      <c r="A7" t="s">
        <v>66</v>
      </c>
      <c r="B7" s="3">
        <v>45209</v>
      </c>
      <c r="C7">
        <v>23.67</v>
      </c>
      <c r="D7">
        <v>24.14</v>
      </c>
      <c r="E7">
        <v>23.47</v>
      </c>
      <c r="F7">
        <v>23.95</v>
      </c>
      <c r="G7">
        <v>23.69</v>
      </c>
      <c r="H7">
        <v>0.26</v>
      </c>
      <c r="I7">
        <v>1.0975</v>
      </c>
      <c r="J7">
        <v>14891.51</v>
      </c>
      <c r="K7">
        <v>35603.814</v>
      </c>
      <c r="L7" t="s">
        <v>103</v>
      </c>
      <c r="M7" t="s">
        <v>104</v>
      </c>
      <c r="N7" s="3">
        <v>45294</v>
      </c>
      <c r="O7">
        <v>6</v>
      </c>
      <c r="P7">
        <v>66</v>
      </c>
      <c r="Q7">
        <v>-60</v>
      </c>
      <c r="R7" t="s">
        <v>105</v>
      </c>
    </row>
    <row r="8" spans="1:19">
      <c r="A8" t="s">
        <v>66</v>
      </c>
      <c r="B8" s="3">
        <v>45210</v>
      </c>
      <c r="C8">
        <v>24.18</v>
      </c>
      <c r="D8">
        <v>24.18</v>
      </c>
      <c r="E8">
        <v>23.52</v>
      </c>
      <c r="F8">
        <v>23.89</v>
      </c>
      <c r="G8">
        <v>23.95</v>
      </c>
      <c r="H8">
        <v>-0.06</v>
      </c>
      <c r="I8">
        <v>-0.2505</v>
      </c>
      <c r="J8">
        <v>12002.67</v>
      </c>
      <c r="K8">
        <v>28652.005</v>
      </c>
      <c r="L8" t="s">
        <v>103</v>
      </c>
      <c r="M8" t="s">
        <v>104</v>
      </c>
      <c r="N8" s="3">
        <v>45294</v>
      </c>
      <c r="O8">
        <v>7</v>
      </c>
      <c r="P8">
        <v>66</v>
      </c>
      <c r="Q8">
        <v>-59</v>
      </c>
      <c r="R8" t="s">
        <v>105</v>
      </c>
    </row>
    <row r="9" spans="1:19">
      <c r="A9" t="s">
        <v>66</v>
      </c>
      <c r="B9" s="3">
        <v>45211</v>
      </c>
      <c r="C9">
        <v>23.95</v>
      </c>
      <c r="D9">
        <v>24.1</v>
      </c>
      <c r="E9">
        <v>23.5</v>
      </c>
      <c r="F9">
        <v>23.53</v>
      </c>
      <c r="G9">
        <v>23.89</v>
      </c>
      <c r="H9">
        <v>-0.36</v>
      </c>
      <c r="I9">
        <v>-1.5069</v>
      </c>
      <c r="J9">
        <v>10287.59</v>
      </c>
      <c r="K9">
        <v>24414.062</v>
      </c>
      <c r="L9" t="s">
        <v>103</v>
      </c>
      <c r="M9" t="s">
        <v>104</v>
      </c>
      <c r="N9" s="3">
        <v>45294</v>
      </c>
      <c r="O9">
        <v>8</v>
      </c>
      <c r="P9">
        <v>66</v>
      </c>
      <c r="Q9">
        <v>-58</v>
      </c>
      <c r="R9" t="s">
        <v>105</v>
      </c>
    </row>
    <row r="10" spans="1:19">
      <c r="A10" t="s">
        <v>66</v>
      </c>
      <c r="B10" s="3">
        <v>45212</v>
      </c>
      <c r="C10">
        <v>23.54</v>
      </c>
      <c r="D10">
        <v>23.6</v>
      </c>
      <c r="E10">
        <v>23.27</v>
      </c>
      <c r="F10">
        <v>23.42</v>
      </c>
      <c r="G10">
        <v>23.53</v>
      </c>
      <c r="H10">
        <v>-0.11</v>
      </c>
      <c r="I10">
        <v>-0.4675</v>
      </c>
      <c r="J10">
        <v>8324.15</v>
      </c>
      <c r="K10">
        <v>19514.856</v>
      </c>
      <c r="L10" t="s">
        <v>103</v>
      </c>
      <c r="M10" t="s">
        <v>104</v>
      </c>
      <c r="N10" s="3">
        <v>45294</v>
      </c>
      <c r="O10">
        <v>9</v>
      </c>
      <c r="P10">
        <v>66</v>
      </c>
      <c r="Q10">
        <v>-57</v>
      </c>
      <c r="R10" t="s">
        <v>105</v>
      </c>
    </row>
    <row r="11" spans="1:19">
      <c r="A11" t="s">
        <v>66</v>
      </c>
      <c r="B11" s="3">
        <v>45215</v>
      </c>
      <c r="C11">
        <v>23.59</v>
      </c>
      <c r="D11">
        <v>23.59</v>
      </c>
      <c r="E11">
        <v>23.03</v>
      </c>
      <c r="F11">
        <v>23.25</v>
      </c>
      <c r="G11">
        <v>23.42</v>
      </c>
      <c r="H11">
        <v>-0.17</v>
      </c>
      <c r="I11">
        <v>-0.7259</v>
      </c>
      <c r="J11">
        <v>12197.72</v>
      </c>
      <c r="K11">
        <v>28339.066</v>
      </c>
      <c r="L11" t="s">
        <v>103</v>
      </c>
      <c r="M11" t="s">
        <v>104</v>
      </c>
      <c r="N11" s="3">
        <v>45294</v>
      </c>
      <c r="O11">
        <v>10</v>
      </c>
      <c r="P11">
        <v>66</v>
      </c>
      <c r="Q11">
        <v>-56</v>
      </c>
      <c r="R11" t="s">
        <v>105</v>
      </c>
    </row>
    <row r="12" spans="1:19">
      <c r="A12" t="s">
        <v>66</v>
      </c>
      <c r="B12" s="3">
        <v>45216</v>
      </c>
      <c r="C12">
        <v>23.35</v>
      </c>
      <c r="D12">
        <v>23.6</v>
      </c>
      <c r="E12">
        <v>23.08</v>
      </c>
      <c r="F12">
        <v>23.58</v>
      </c>
      <c r="G12">
        <v>23.25</v>
      </c>
      <c r="H12">
        <v>0.33</v>
      </c>
      <c r="I12">
        <v>1.4194</v>
      </c>
      <c r="J12">
        <v>10296.46</v>
      </c>
      <c r="K12">
        <v>24106.455</v>
      </c>
      <c r="L12" t="s">
        <v>103</v>
      </c>
      <c r="M12" t="s">
        <v>104</v>
      </c>
      <c r="N12" s="3">
        <v>45294</v>
      </c>
      <c r="O12">
        <v>11</v>
      </c>
      <c r="P12">
        <v>66</v>
      </c>
      <c r="Q12">
        <v>-55</v>
      </c>
      <c r="R12" t="s">
        <v>105</v>
      </c>
    </row>
    <row r="13" spans="1:19">
      <c r="A13" t="s">
        <v>66</v>
      </c>
      <c r="B13" s="3">
        <v>45217</v>
      </c>
      <c r="C13">
        <v>23.42</v>
      </c>
      <c r="D13">
        <v>23.65</v>
      </c>
      <c r="E13">
        <v>22.88</v>
      </c>
      <c r="F13">
        <v>22.89</v>
      </c>
      <c r="G13">
        <v>23.58</v>
      </c>
      <c r="H13">
        <v>-0.69</v>
      </c>
      <c r="I13">
        <v>-2.9262</v>
      </c>
      <c r="J13">
        <v>11247.11</v>
      </c>
      <c r="K13">
        <v>25903.169</v>
      </c>
      <c r="L13" t="s">
        <v>103</v>
      </c>
      <c r="M13" t="s">
        <v>104</v>
      </c>
      <c r="N13" s="3">
        <v>45294</v>
      </c>
      <c r="O13">
        <v>12</v>
      </c>
      <c r="P13">
        <v>66</v>
      </c>
      <c r="Q13">
        <v>-54</v>
      </c>
      <c r="R13" t="s">
        <v>105</v>
      </c>
    </row>
    <row r="14" spans="1:19">
      <c r="A14" t="s">
        <v>66</v>
      </c>
      <c r="B14" s="3">
        <v>45218</v>
      </c>
      <c r="C14">
        <v>23</v>
      </c>
      <c r="D14">
        <v>23.38</v>
      </c>
      <c r="E14">
        <v>22.72</v>
      </c>
      <c r="F14">
        <v>22.8</v>
      </c>
      <c r="G14">
        <v>22.89</v>
      </c>
      <c r="H14">
        <v>-0.09</v>
      </c>
      <c r="I14">
        <v>-0.3932</v>
      </c>
      <c r="J14">
        <v>10614.1</v>
      </c>
      <c r="K14">
        <v>24410.321</v>
      </c>
      <c r="L14" t="s">
        <v>103</v>
      </c>
      <c r="M14" t="s">
        <v>104</v>
      </c>
      <c r="N14" s="3">
        <v>45294</v>
      </c>
      <c r="O14">
        <v>13</v>
      </c>
      <c r="P14">
        <v>66</v>
      </c>
      <c r="Q14">
        <v>-53</v>
      </c>
      <c r="R14" t="s">
        <v>105</v>
      </c>
    </row>
    <row r="15" spans="1:19">
      <c r="A15" t="s">
        <v>66</v>
      </c>
      <c r="B15" s="3">
        <v>45219</v>
      </c>
      <c r="C15">
        <v>22.75</v>
      </c>
      <c r="D15">
        <v>23.1</v>
      </c>
      <c r="E15">
        <v>22.58</v>
      </c>
      <c r="F15">
        <v>22.65</v>
      </c>
      <c r="G15">
        <v>22.8</v>
      </c>
      <c r="H15">
        <v>-0.15</v>
      </c>
      <c r="I15">
        <v>-0.6579</v>
      </c>
      <c r="J15">
        <v>13463.68</v>
      </c>
      <c r="K15">
        <v>30619.382</v>
      </c>
      <c r="L15" t="s">
        <v>103</v>
      </c>
      <c r="M15" t="s">
        <v>104</v>
      </c>
      <c r="N15" s="3">
        <v>45294</v>
      </c>
      <c r="O15">
        <v>14</v>
      </c>
      <c r="P15">
        <v>66</v>
      </c>
      <c r="Q15">
        <v>-52</v>
      </c>
      <c r="R15" t="s">
        <v>105</v>
      </c>
    </row>
    <row r="16" spans="1:19">
      <c r="A16" t="s">
        <v>66</v>
      </c>
      <c r="B16" s="3">
        <v>45222</v>
      </c>
      <c r="C16">
        <v>23.62</v>
      </c>
      <c r="D16">
        <v>23.66</v>
      </c>
      <c r="E16">
        <v>22.02</v>
      </c>
      <c r="F16">
        <v>22.2</v>
      </c>
      <c r="G16">
        <v>22.65</v>
      </c>
      <c r="H16">
        <v>-0.45</v>
      </c>
      <c r="I16">
        <v>-1.9868</v>
      </c>
      <c r="J16">
        <v>30308.86</v>
      </c>
      <c r="K16">
        <v>68242.005</v>
      </c>
      <c r="L16" t="s">
        <v>103</v>
      </c>
      <c r="M16" t="s">
        <v>104</v>
      </c>
      <c r="N16" s="3">
        <v>45294</v>
      </c>
      <c r="O16">
        <v>15</v>
      </c>
      <c r="P16">
        <v>66</v>
      </c>
      <c r="Q16">
        <v>-51</v>
      </c>
      <c r="R16" t="s">
        <v>105</v>
      </c>
    </row>
    <row r="17" spans="1:18">
      <c r="A17" t="s">
        <v>66</v>
      </c>
      <c r="B17" s="3">
        <v>45223</v>
      </c>
      <c r="C17">
        <v>22.22</v>
      </c>
      <c r="D17">
        <v>23.05</v>
      </c>
      <c r="E17">
        <v>21.87</v>
      </c>
      <c r="F17">
        <v>23</v>
      </c>
      <c r="G17">
        <v>22.2</v>
      </c>
      <c r="H17">
        <v>0.8</v>
      </c>
      <c r="I17">
        <v>3.6036</v>
      </c>
      <c r="J17">
        <v>19641.6</v>
      </c>
      <c r="K17">
        <v>44549.265</v>
      </c>
      <c r="L17" t="s">
        <v>103</v>
      </c>
      <c r="M17" t="s">
        <v>104</v>
      </c>
      <c r="N17" s="3">
        <v>45294</v>
      </c>
      <c r="O17">
        <v>16</v>
      </c>
      <c r="P17">
        <v>66</v>
      </c>
      <c r="Q17">
        <v>-50</v>
      </c>
      <c r="R17" t="s">
        <v>105</v>
      </c>
    </row>
    <row r="18" spans="1:18">
      <c r="A18" t="s">
        <v>66</v>
      </c>
      <c r="B18" s="3">
        <v>45224</v>
      </c>
      <c r="C18">
        <v>22.87</v>
      </c>
      <c r="D18">
        <v>23.05</v>
      </c>
      <c r="E18">
        <v>21.19</v>
      </c>
      <c r="F18">
        <v>21.56</v>
      </c>
      <c r="G18">
        <v>23</v>
      </c>
      <c r="H18">
        <v>-1.44</v>
      </c>
      <c r="I18">
        <v>-6.2609</v>
      </c>
      <c r="J18">
        <v>40042.16</v>
      </c>
      <c r="K18">
        <v>87220.694</v>
      </c>
      <c r="L18" t="s">
        <v>103</v>
      </c>
      <c r="M18" t="s">
        <v>104</v>
      </c>
      <c r="N18" s="3">
        <v>45294</v>
      </c>
      <c r="O18">
        <v>17</v>
      </c>
      <c r="P18">
        <v>66</v>
      </c>
      <c r="Q18">
        <v>-49</v>
      </c>
      <c r="R18" t="s">
        <v>105</v>
      </c>
    </row>
    <row r="19" spans="1:18">
      <c r="A19" t="s">
        <v>66</v>
      </c>
      <c r="B19" s="3">
        <v>45225</v>
      </c>
      <c r="C19">
        <v>21.31</v>
      </c>
      <c r="D19">
        <v>21.67</v>
      </c>
      <c r="E19">
        <v>20.4</v>
      </c>
      <c r="F19">
        <v>20.61</v>
      </c>
      <c r="G19">
        <v>21.56</v>
      </c>
      <c r="H19">
        <v>-0.95</v>
      </c>
      <c r="I19">
        <v>-4.4063</v>
      </c>
      <c r="J19">
        <v>38172.74</v>
      </c>
      <c r="K19">
        <v>79266.481</v>
      </c>
      <c r="L19" t="s">
        <v>103</v>
      </c>
      <c r="M19" t="s">
        <v>104</v>
      </c>
      <c r="N19" s="3">
        <v>45294</v>
      </c>
      <c r="O19">
        <v>18</v>
      </c>
      <c r="P19">
        <v>66</v>
      </c>
      <c r="Q19">
        <v>-48</v>
      </c>
      <c r="R19" t="s">
        <v>105</v>
      </c>
    </row>
    <row r="20" spans="1:18">
      <c r="A20" t="s">
        <v>66</v>
      </c>
      <c r="B20" s="3">
        <v>45226</v>
      </c>
      <c r="C20">
        <v>20.61</v>
      </c>
      <c r="D20">
        <v>20.78</v>
      </c>
      <c r="E20">
        <v>20.11</v>
      </c>
      <c r="F20">
        <v>20.61</v>
      </c>
      <c r="G20">
        <v>20.61</v>
      </c>
      <c r="H20">
        <v>0</v>
      </c>
      <c r="I20">
        <v>0</v>
      </c>
      <c r="J20">
        <v>26882.36</v>
      </c>
      <c r="K20">
        <v>55026.104</v>
      </c>
      <c r="L20" t="s">
        <v>103</v>
      </c>
      <c r="M20" t="s">
        <v>104</v>
      </c>
      <c r="N20" s="3">
        <v>45294</v>
      </c>
      <c r="O20">
        <v>19</v>
      </c>
      <c r="P20">
        <v>66</v>
      </c>
      <c r="Q20">
        <v>-47</v>
      </c>
      <c r="R20" t="s">
        <v>105</v>
      </c>
    </row>
    <row r="21" spans="1:18">
      <c r="A21" t="s">
        <v>66</v>
      </c>
      <c r="B21" s="3">
        <v>45229</v>
      </c>
      <c r="C21">
        <v>20.62</v>
      </c>
      <c r="D21">
        <v>21.28</v>
      </c>
      <c r="E21">
        <v>20.55</v>
      </c>
      <c r="F21">
        <v>21.2</v>
      </c>
      <c r="G21">
        <v>20.61</v>
      </c>
      <c r="H21">
        <v>0.59</v>
      </c>
      <c r="I21">
        <v>2.8627</v>
      </c>
      <c r="J21">
        <v>22779.06</v>
      </c>
      <c r="K21">
        <v>47871.187</v>
      </c>
      <c r="L21" t="s">
        <v>103</v>
      </c>
      <c r="M21" t="s">
        <v>104</v>
      </c>
      <c r="N21" s="3">
        <v>45294</v>
      </c>
      <c r="O21">
        <v>20</v>
      </c>
      <c r="P21">
        <v>66</v>
      </c>
      <c r="Q21">
        <v>-46</v>
      </c>
      <c r="R21" t="s">
        <v>105</v>
      </c>
    </row>
    <row r="22" spans="1:18">
      <c r="A22" t="s">
        <v>66</v>
      </c>
      <c r="B22" s="3">
        <v>45230</v>
      </c>
      <c r="C22">
        <v>21.24</v>
      </c>
      <c r="D22">
        <v>21.5</v>
      </c>
      <c r="E22">
        <v>21</v>
      </c>
      <c r="F22">
        <v>21.19</v>
      </c>
      <c r="G22">
        <v>21.2</v>
      </c>
      <c r="H22">
        <v>-0.01</v>
      </c>
      <c r="I22">
        <v>-0.0472</v>
      </c>
      <c r="J22">
        <v>19380.6</v>
      </c>
      <c r="K22">
        <v>41018.825</v>
      </c>
      <c r="L22" t="s">
        <v>103</v>
      </c>
      <c r="M22" t="s">
        <v>104</v>
      </c>
      <c r="N22" s="3">
        <v>45294</v>
      </c>
      <c r="O22">
        <v>21</v>
      </c>
      <c r="P22">
        <v>66</v>
      </c>
      <c r="Q22">
        <v>-45</v>
      </c>
      <c r="R22" t="s">
        <v>105</v>
      </c>
    </row>
    <row r="23" spans="1:18">
      <c r="A23" t="s">
        <v>66</v>
      </c>
      <c r="B23" s="3">
        <v>45231</v>
      </c>
      <c r="C23">
        <v>21.2</v>
      </c>
      <c r="D23">
        <v>21.39</v>
      </c>
      <c r="E23">
        <v>20.91</v>
      </c>
      <c r="F23">
        <v>21.11</v>
      </c>
      <c r="G23">
        <v>21.19</v>
      </c>
      <c r="H23">
        <v>-0.08</v>
      </c>
      <c r="I23">
        <v>-0.3775</v>
      </c>
      <c r="J23">
        <v>12792</v>
      </c>
      <c r="K23">
        <v>27047.322</v>
      </c>
      <c r="L23" t="s">
        <v>103</v>
      </c>
      <c r="M23" t="s">
        <v>104</v>
      </c>
      <c r="N23" s="3">
        <v>45294</v>
      </c>
      <c r="O23">
        <v>22</v>
      </c>
      <c r="P23">
        <v>66</v>
      </c>
      <c r="Q23">
        <v>-44</v>
      </c>
      <c r="R23" t="s">
        <v>105</v>
      </c>
    </row>
    <row r="24" spans="1:18">
      <c r="A24" t="s">
        <v>66</v>
      </c>
      <c r="B24" s="3">
        <v>45232</v>
      </c>
      <c r="C24">
        <v>21.11</v>
      </c>
      <c r="D24">
        <v>21.35</v>
      </c>
      <c r="E24">
        <v>20.84</v>
      </c>
      <c r="F24">
        <v>20.86</v>
      </c>
      <c r="G24">
        <v>21.11</v>
      </c>
      <c r="H24">
        <v>-0.25</v>
      </c>
      <c r="I24">
        <v>-1.1843</v>
      </c>
      <c r="J24">
        <v>11507.6</v>
      </c>
      <c r="K24">
        <v>24236.926</v>
      </c>
      <c r="L24" t="s">
        <v>103</v>
      </c>
      <c r="M24" t="s">
        <v>104</v>
      </c>
      <c r="N24" s="3">
        <v>45294</v>
      </c>
      <c r="O24">
        <v>23</v>
      </c>
      <c r="P24">
        <v>66</v>
      </c>
      <c r="Q24">
        <v>-43</v>
      </c>
      <c r="R24" t="s">
        <v>105</v>
      </c>
    </row>
    <row r="25" spans="1:18">
      <c r="A25" t="s">
        <v>66</v>
      </c>
      <c r="B25" s="3">
        <v>45233</v>
      </c>
      <c r="C25">
        <v>20.95</v>
      </c>
      <c r="D25">
        <v>21.7</v>
      </c>
      <c r="E25">
        <v>20.95</v>
      </c>
      <c r="F25">
        <v>21.44</v>
      </c>
      <c r="G25">
        <v>20.86</v>
      </c>
      <c r="H25">
        <v>0.58</v>
      </c>
      <c r="I25">
        <v>2.7804</v>
      </c>
      <c r="J25">
        <v>13264.9</v>
      </c>
      <c r="K25">
        <v>28453.017</v>
      </c>
      <c r="L25" t="s">
        <v>103</v>
      </c>
      <c r="M25" t="s">
        <v>104</v>
      </c>
      <c r="N25" s="3">
        <v>45294</v>
      </c>
      <c r="O25">
        <v>24</v>
      </c>
      <c r="P25">
        <v>66</v>
      </c>
      <c r="Q25">
        <v>-42</v>
      </c>
      <c r="R25" t="s">
        <v>105</v>
      </c>
    </row>
    <row r="26" spans="1:18">
      <c r="A26" t="s">
        <v>66</v>
      </c>
      <c r="B26" s="3">
        <v>45236</v>
      </c>
      <c r="C26">
        <v>21.47</v>
      </c>
      <c r="D26">
        <v>22.04</v>
      </c>
      <c r="E26">
        <v>21.42</v>
      </c>
      <c r="F26">
        <v>21.83</v>
      </c>
      <c r="G26">
        <v>21.44</v>
      </c>
      <c r="H26">
        <v>0.39</v>
      </c>
      <c r="I26">
        <v>1.819</v>
      </c>
      <c r="J26">
        <v>14869.44</v>
      </c>
      <c r="K26">
        <v>32280.81</v>
      </c>
      <c r="L26" t="s">
        <v>103</v>
      </c>
      <c r="M26" t="s">
        <v>104</v>
      </c>
      <c r="N26" s="3">
        <v>45294</v>
      </c>
      <c r="O26">
        <v>25</v>
      </c>
      <c r="P26">
        <v>66</v>
      </c>
      <c r="Q26">
        <v>-41</v>
      </c>
      <c r="R26" t="s">
        <v>105</v>
      </c>
    </row>
    <row r="27" spans="1:18">
      <c r="A27" t="s">
        <v>66</v>
      </c>
      <c r="B27" s="3">
        <v>45237</v>
      </c>
      <c r="C27">
        <v>21.9</v>
      </c>
      <c r="D27">
        <v>22.05</v>
      </c>
      <c r="E27">
        <v>21.72</v>
      </c>
      <c r="F27">
        <v>21.89</v>
      </c>
      <c r="G27">
        <v>21.83</v>
      </c>
      <c r="H27">
        <v>0.06</v>
      </c>
      <c r="I27">
        <v>0.2749</v>
      </c>
      <c r="J27">
        <v>9509.2</v>
      </c>
      <c r="K27">
        <v>20811.402</v>
      </c>
      <c r="L27" t="s">
        <v>103</v>
      </c>
      <c r="M27" t="s">
        <v>104</v>
      </c>
      <c r="N27" s="3">
        <v>45294</v>
      </c>
      <c r="O27">
        <v>26</v>
      </c>
      <c r="P27">
        <v>66</v>
      </c>
      <c r="Q27">
        <v>-40</v>
      </c>
      <c r="R27" t="s">
        <v>105</v>
      </c>
    </row>
    <row r="28" spans="1:18">
      <c r="A28" t="s">
        <v>66</v>
      </c>
      <c r="B28" s="3">
        <v>45238</v>
      </c>
      <c r="C28">
        <v>21.89</v>
      </c>
      <c r="D28">
        <v>22.29</v>
      </c>
      <c r="E28">
        <v>21.72</v>
      </c>
      <c r="F28">
        <v>22.06</v>
      </c>
      <c r="G28">
        <v>21.89</v>
      </c>
      <c r="H28">
        <v>0.17</v>
      </c>
      <c r="I28">
        <v>0.7766</v>
      </c>
      <c r="J28">
        <v>11995.8</v>
      </c>
      <c r="K28">
        <v>26459.366</v>
      </c>
      <c r="L28" t="s">
        <v>103</v>
      </c>
      <c r="M28" t="s">
        <v>104</v>
      </c>
      <c r="N28" s="3">
        <v>45294</v>
      </c>
      <c r="O28">
        <v>27</v>
      </c>
      <c r="P28">
        <v>66</v>
      </c>
      <c r="Q28">
        <v>-39</v>
      </c>
      <c r="R28" t="s">
        <v>105</v>
      </c>
    </row>
    <row r="29" spans="1:18">
      <c r="A29" t="s">
        <v>66</v>
      </c>
      <c r="B29" s="3">
        <v>45239</v>
      </c>
      <c r="C29">
        <v>22.06</v>
      </c>
      <c r="D29">
        <v>22.55</v>
      </c>
      <c r="E29">
        <v>21.86</v>
      </c>
      <c r="F29">
        <v>22</v>
      </c>
      <c r="G29">
        <v>22.06</v>
      </c>
      <c r="H29">
        <v>-0.06</v>
      </c>
      <c r="I29">
        <v>-0.272</v>
      </c>
      <c r="J29">
        <v>12683.89</v>
      </c>
      <c r="K29">
        <v>28078.745</v>
      </c>
      <c r="L29" t="s">
        <v>103</v>
      </c>
      <c r="M29" t="s">
        <v>104</v>
      </c>
      <c r="N29" s="3">
        <v>45294</v>
      </c>
      <c r="O29">
        <v>28</v>
      </c>
      <c r="P29">
        <v>66</v>
      </c>
      <c r="Q29">
        <v>-38</v>
      </c>
      <c r="R29" t="s">
        <v>105</v>
      </c>
    </row>
    <row r="30" spans="1:18">
      <c r="A30" t="s">
        <v>66</v>
      </c>
      <c r="B30" s="3">
        <v>45240</v>
      </c>
      <c r="C30">
        <v>22.06</v>
      </c>
      <c r="D30">
        <v>22.36</v>
      </c>
      <c r="E30">
        <v>21.64</v>
      </c>
      <c r="F30">
        <v>21.9</v>
      </c>
      <c r="G30">
        <v>22</v>
      </c>
      <c r="H30">
        <v>-0.1</v>
      </c>
      <c r="I30">
        <v>-0.4545</v>
      </c>
      <c r="J30">
        <v>12932.64</v>
      </c>
      <c r="K30">
        <v>28518.439</v>
      </c>
      <c r="L30" t="s">
        <v>103</v>
      </c>
      <c r="M30" t="s">
        <v>104</v>
      </c>
      <c r="N30" s="3">
        <v>45294</v>
      </c>
      <c r="O30">
        <v>29</v>
      </c>
      <c r="P30">
        <v>66</v>
      </c>
      <c r="Q30">
        <v>-37</v>
      </c>
      <c r="R30" t="s">
        <v>105</v>
      </c>
    </row>
    <row r="31" spans="1:18">
      <c r="A31" t="s">
        <v>66</v>
      </c>
      <c r="B31" s="3">
        <v>45243</v>
      </c>
      <c r="C31">
        <v>21.97</v>
      </c>
      <c r="D31">
        <v>22.3</v>
      </c>
      <c r="E31">
        <v>21.86</v>
      </c>
      <c r="F31">
        <v>22.26</v>
      </c>
      <c r="G31">
        <v>21.9</v>
      </c>
      <c r="H31">
        <v>0.36</v>
      </c>
      <c r="I31">
        <v>1.6438</v>
      </c>
      <c r="J31">
        <v>13138.62</v>
      </c>
      <c r="K31">
        <v>29123.184</v>
      </c>
      <c r="L31" t="s">
        <v>103</v>
      </c>
      <c r="M31" t="s">
        <v>104</v>
      </c>
      <c r="N31" s="3">
        <v>45294</v>
      </c>
      <c r="O31">
        <v>30</v>
      </c>
      <c r="P31">
        <v>66</v>
      </c>
      <c r="Q31">
        <v>-36</v>
      </c>
      <c r="R31" t="s">
        <v>105</v>
      </c>
    </row>
    <row r="32" spans="1:18">
      <c r="A32" t="s">
        <v>66</v>
      </c>
      <c r="B32" s="3">
        <v>45244</v>
      </c>
      <c r="C32">
        <v>22.25</v>
      </c>
      <c r="D32">
        <v>22.51</v>
      </c>
      <c r="E32">
        <v>22.16</v>
      </c>
      <c r="F32">
        <v>22.39</v>
      </c>
      <c r="G32">
        <v>22.26</v>
      </c>
      <c r="H32">
        <v>0.13</v>
      </c>
      <c r="I32">
        <v>0.584</v>
      </c>
      <c r="J32">
        <v>9323.1</v>
      </c>
      <c r="K32">
        <v>20820.982</v>
      </c>
      <c r="L32" t="s">
        <v>103</v>
      </c>
      <c r="M32" t="s">
        <v>104</v>
      </c>
      <c r="N32" s="3">
        <v>45294</v>
      </c>
      <c r="O32">
        <v>31</v>
      </c>
      <c r="P32">
        <v>66</v>
      </c>
      <c r="Q32">
        <v>-35</v>
      </c>
      <c r="R32" t="s">
        <v>105</v>
      </c>
    </row>
    <row r="33" spans="1:18">
      <c r="A33" t="s">
        <v>66</v>
      </c>
      <c r="B33" s="3">
        <v>45245</v>
      </c>
      <c r="C33">
        <v>22.5</v>
      </c>
      <c r="D33">
        <v>22.64</v>
      </c>
      <c r="E33">
        <v>22.26</v>
      </c>
      <c r="F33">
        <v>22.5</v>
      </c>
      <c r="G33">
        <v>22.39</v>
      </c>
      <c r="H33">
        <v>0.11</v>
      </c>
      <c r="I33">
        <v>0.4913</v>
      </c>
      <c r="J33">
        <v>11215.04</v>
      </c>
      <c r="K33">
        <v>25198.093</v>
      </c>
      <c r="L33" t="s">
        <v>103</v>
      </c>
      <c r="M33" t="s">
        <v>104</v>
      </c>
      <c r="N33" s="3">
        <v>45294</v>
      </c>
      <c r="O33">
        <v>32</v>
      </c>
      <c r="P33">
        <v>66</v>
      </c>
      <c r="Q33">
        <v>-34</v>
      </c>
      <c r="R33" t="s">
        <v>105</v>
      </c>
    </row>
    <row r="34" spans="1:18">
      <c r="A34" t="s">
        <v>66</v>
      </c>
      <c r="B34" s="3">
        <v>45246</v>
      </c>
      <c r="C34">
        <v>22.47</v>
      </c>
      <c r="D34">
        <v>22.74</v>
      </c>
      <c r="E34">
        <v>22.34</v>
      </c>
      <c r="F34">
        <v>22.4</v>
      </c>
      <c r="G34">
        <v>22.5</v>
      </c>
      <c r="H34">
        <v>-0.1</v>
      </c>
      <c r="I34">
        <v>-0.4444</v>
      </c>
      <c r="J34">
        <v>9557.64</v>
      </c>
      <c r="K34">
        <v>21526.138</v>
      </c>
      <c r="L34" t="s">
        <v>103</v>
      </c>
      <c r="M34" t="s">
        <v>104</v>
      </c>
      <c r="N34" s="3">
        <v>45294</v>
      </c>
      <c r="O34">
        <v>33</v>
      </c>
      <c r="P34">
        <v>66</v>
      </c>
      <c r="Q34">
        <v>-33</v>
      </c>
      <c r="R34" t="s">
        <v>105</v>
      </c>
    </row>
    <row r="35" spans="1:18">
      <c r="A35" t="s">
        <v>66</v>
      </c>
      <c r="B35" s="3">
        <v>45247</v>
      </c>
      <c r="C35">
        <v>22.55</v>
      </c>
      <c r="D35">
        <v>22.6</v>
      </c>
      <c r="E35">
        <v>22.3</v>
      </c>
      <c r="F35">
        <v>22.6</v>
      </c>
      <c r="G35">
        <v>22.4</v>
      </c>
      <c r="H35">
        <v>0.2</v>
      </c>
      <c r="I35">
        <v>0.8929</v>
      </c>
      <c r="J35">
        <v>7426.66</v>
      </c>
      <c r="K35">
        <v>16675.661</v>
      </c>
      <c r="L35" t="s">
        <v>103</v>
      </c>
      <c r="M35" t="s">
        <v>104</v>
      </c>
      <c r="N35" s="3">
        <v>45294</v>
      </c>
      <c r="O35">
        <v>34</v>
      </c>
      <c r="P35">
        <v>66</v>
      </c>
      <c r="Q35">
        <v>-32</v>
      </c>
      <c r="R35" t="s">
        <v>105</v>
      </c>
    </row>
    <row r="36" spans="1:18">
      <c r="A36" t="s">
        <v>66</v>
      </c>
      <c r="B36" s="3">
        <v>45250</v>
      </c>
      <c r="C36">
        <v>22.69</v>
      </c>
      <c r="D36">
        <v>22.96</v>
      </c>
      <c r="E36">
        <v>22.61</v>
      </c>
      <c r="F36">
        <v>22.74</v>
      </c>
      <c r="G36">
        <v>22.6</v>
      </c>
      <c r="H36">
        <v>0.14</v>
      </c>
      <c r="I36">
        <v>0.6195</v>
      </c>
      <c r="J36">
        <v>8882.86</v>
      </c>
      <c r="K36">
        <v>20212.03</v>
      </c>
      <c r="L36" t="s">
        <v>103</v>
      </c>
      <c r="M36" t="s">
        <v>104</v>
      </c>
      <c r="N36" s="3">
        <v>45294</v>
      </c>
      <c r="O36">
        <v>35</v>
      </c>
      <c r="P36">
        <v>66</v>
      </c>
      <c r="Q36">
        <v>-31</v>
      </c>
      <c r="R36" t="s">
        <v>105</v>
      </c>
    </row>
    <row r="37" spans="1:18">
      <c r="A37" t="s">
        <v>66</v>
      </c>
      <c r="B37" s="3">
        <v>45251</v>
      </c>
      <c r="C37">
        <v>23</v>
      </c>
      <c r="D37">
        <v>23.05</v>
      </c>
      <c r="E37">
        <v>22.5</v>
      </c>
      <c r="F37">
        <v>22.55</v>
      </c>
      <c r="G37">
        <v>22.74</v>
      </c>
      <c r="H37">
        <v>-0.19</v>
      </c>
      <c r="I37">
        <v>-0.8355</v>
      </c>
      <c r="J37">
        <v>8897.2</v>
      </c>
      <c r="K37">
        <v>20218.205</v>
      </c>
      <c r="L37" t="s">
        <v>103</v>
      </c>
      <c r="M37" t="s">
        <v>104</v>
      </c>
      <c r="N37" s="3">
        <v>45294</v>
      </c>
      <c r="O37">
        <v>36</v>
      </c>
      <c r="P37">
        <v>66</v>
      </c>
      <c r="Q37">
        <v>-30</v>
      </c>
      <c r="R37" t="s">
        <v>105</v>
      </c>
    </row>
    <row r="38" spans="1:18">
      <c r="A38" t="s">
        <v>66</v>
      </c>
      <c r="B38" s="3">
        <v>45252</v>
      </c>
      <c r="C38">
        <v>22.68</v>
      </c>
      <c r="D38">
        <v>22.82</v>
      </c>
      <c r="E38">
        <v>22.25</v>
      </c>
      <c r="F38">
        <v>22.27</v>
      </c>
      <c r="G38">
        <v>22.55</v>
      </c>
      <c r="H38">
        <v>-0.28</v>
      </c>
      <c r="I38">
        <v>-1.2417</v>
      </c>
      <c r="J38">
        <v>9370.58</v>
      </c>
      <c r="K38">
        <v>21148.858</v>
      </c>
      <c r="L38" t="s">
        <v>103</v>
      </c>
      <c r="M38" t="s">
        <v>104</v>
      </c>
      <c r="N38" s="3">
        <v>45294</v>
      </c>
      <c r="O38">
        <v>37</v>
      </c>
      <c r="P38">
        <v>66</v>
      </c>
      <c r="Q38">
        <v>-29</v>
      </c>
      <c r="R38" t="s">
        <v>105</v>
      </c>
    </row>
    <row r="39" spans="1:18">
      <c r="A39" t="s">
        <v>66</v>
      </c>
      <c r="B39" s="3">
        <v>45253</v>
      </c>
      <c r="C39">
        <v>22.35</v>
      </c>
      <c r="D39">
        <v>22.69</v>
      </c>
      <c r="E39">
        <v>22.17</v>
      </c>
      <c r="F39">
        <v>22.62</v>
      </c>
      <c r="G39">
        <v>22.27</v>
      </c>
      <c r="H39">
        <v>0.35</v>
      </c>
      <c r="I39">
        <v>1.5716</v>
      </c>
      <c r="J39">
        <v>9713.72</v>
      </c>
      <c r="K39">
        <v>21817.419</v>
      </c>
      <c r="L39" t="s">
        <v>103</v>
      </c>
      <c r="M39" t="s">
        <v>104</v>
      </c>
      <c r="N39" s="3">
        <v>45294</v>
      </c>
      <c r="O39">
        <v>38</v>
      </c>
      <c r="P39">
        <v>66</v>
      </c>
      <c r="Q39">
        <v>-28</v>
      </c>
      <c r="R39" t="s">
        <v>105</v>
      </c>
    </row>
    <row r="40" spans="1:18">
      <c r="A40" t="s">
        <v>66</v>
      </c>
      <c r="B40" s="3">
        <v>45254</v>
      </c>
      <c r="C40">
        <v>22.62</v>
      </c>
      <c r="D40">
        <v>22.73</v>
      </c>
      <c r="E40">
        <v>22.03</v>
      </c>
      <c r="F40">
        <v>22.15</v>
      </c>
      <c r="G40">
        <v>22.62</v>
      </c>
      <c r="H40">
        <v>-0.47</v>
      </c>
      <c r="I40">
        <v>-2.0778</v>
      </c>
      <c r="J40">
        <v>13136.4</v>
      </c>
      <c r="K40">
        <v>29160.493</v>
      </c>
      <c r="L40" t="s">
        <v>103</v>
      </c>
      <c r="M40" t="s">
        <v>104</v>
      </c>
      <c r="N40" s="3">
        <v>45294</v>
      </c>
      <c r="O40">
        <v>39</v>
      </c>
      <c r="P40">
        <v>66</v>
      </c>
      <c r="Q40">
        <v>-27</v>
      </c>
      <c r="R40" t="s">
        <v>105</v>
      </c>
    </row>
    <row r="41" spans="1:18">
      <c r="A41" t="s">
        <v>66</v>
      </c>
      <c r="B41" s="3">
        <v>45257</v>
      </c>
      <c r="C41">
        <v>22.12</v>
      </c>
      <c r="D41">
        <v>22.9</v>
      </c>
      <c r="E41">
        <v>22.12</v>
      </c>
      <c r="F41">
        <v>22.58</v>
      </c>
      <c r="G41">
        <v>22.15</v>
      </c>
      <c r="H41">
        <v>0.43</v>
      </c>
      <c r="I41">
        <v>1.9413</v>
      </c>
      <c r="J41">
        <v>18155.6</v>
      </c>
      <c r="K41">
        <v>40869.858</v>
      </c>
      <c r="L41" t="s">
        <v>103</v>
      </c>
      <c r="M41" t="s">
        <v>104</v>
      </c>
      <c r="N41" s="3">
        <v>45294</v>
      </c>
      <c r="O41">
        <v>40</v>
      </c>
      <c r="P41">
        <v>66</v>
      </c>
      <c r="Q41">
        <v>-26</v>
      </c>
      <c r="R41" t="s">
        <v>105</v>
      </c>
    </row>
    <row r="42" spans="1:18">
      <c r="A42" t="s">
        <v>66</v>
      </c>
      <c r="B42" s="3">
        <v>45258</v>
      </c>
      <c r="C42">
        <v>22.35</v>
      </c>
      <c r="D42">
        <v>23.15</v>
      </c>
      <c r="E42">
        <v>22.3</v>
      </c>
      <c r="F42">
        <v>22.88</v>
      </c>
      <c r="G42">
        <v>22.58</v>
      </c>
      <c r="H42">
        <v>0.3</v>
      </c>
      <c r="I42">
        <v>1.3286</v>
      </c>
      <c r="J42">
        <v>17170.69</v>
      </c>
      <c r="K42">
        <v>39276.782</v>
      </c>
      <c r="L42" t="s">
        <v>103</v>
      </c>
      <c r="M42" t="s">
        <v>104</v>
      </c>
      <c r="N42" s="3">
        <v>45294</v>
      </c>
      <c r="O42">
        <v>41</v>
      </c>
      <c r="P42">
        <v>66</v>
      </c>
      <c r="Q42">
        <v>-25</v>
      </c>
      <c r="R42" t="s">
        <v>105</v>
      </c>
    </row>
    <row r="43" spans="1:18">
      <c r="A43" t="s">
        <v>66</v>
      </c>
      <c r="B43" s="3">
        <v>45259</v>
      </c>
      <c r="C43">
        <v>22.88</v>
      </c>
      <c r="D43">
        <v>23</v>
      </c>
      <c r="E43">
        <v>22.6</v>
      </c>
      <c r="F43">
        <v>22.67</v>
      </c>
      <c r="G43">
        <v>22.88</v>
      </c>
      <c r="H43">
        <v>-0.21</v>
      </c>
      <c r="I43">
        <v>-0.9178</v>
      </c>
      <c r="J43">
        <v>9288.86</v>
      </c>
      <c r="K43">
        <v>21144.741</v>
      </c>
      <c r="L43" t="s">
        <v>103</v>
      </c>
      <c r="M43" t="s">
        <v>104</v>
      </c>
      <c r="N43" s="3">
        <v>45294</v>
      </c>
      <c r="O43">
        <v>42</v>
      </c>
      <c r="P43">
        <v>66</v>
      </c>
      <c r="Q43">
        <v>-24</v>
      </c>
      <c r="R43" t="s">
        <v>105</v>
      </c>
    </row>
    <row r="44" spans="1:18">
      <c r="A44" t="s">
        <v>66</v>
      </c>
      <c r="B44" s="3">
        <v>45260</v>
      </c>
      <c r="C44">
        <v>22.89</v>
      </c>
      <c r="D44">
        <v>22.89</v>
      </c>
      <c r="E44">
        <v>22.13</v>
      </c>
      <c r="F44">
        <v>22.37</v>
      </c>
      <c r="G44">
        <v>22.67</v>
      </c>
      <c r="H44">
        <v>-0.3</v>
      </c>
      <c r="I44">
        <v>-1.3233</v>
      </c>
      <c r="J44">
        <v>12647.66</v>
      </c>
      <c r="K44">
        <v>28267.509</v>
      </c>
      <c r="L44" t="s">
        <v>103</v>
      </c>
      <c r="M44" t="s">
        <v>104</v>
      </c>
      <c r="N44" s="3">
        <v>45294</v>
      </c>
      <c r="O44">
        <v>43</v>
      </c>
      <c r="P44">
        <v>66</v>
      </c>
      <c r="Q44">
        <v>-23</v>
      </c>
      <c r="R44" t="s">
        <v>105</v>
      </c>
    </row>
    <row r="45" spans="1:18">
      <c r="A45" t="s">
        <v>66</v>
      </c>
      <c r="B45" s="3">
        <v>45261</v>
      </c>
      <c r="C45">
        <v>22.46</v>
      </c>
      <c r="D45">
        <v>22.57</v>
      </c>
      <c r="E45">
        <v>22.06</v>
      </c>
      <c r="F45">
        <v>22.3</v>
      </c>
      <c r="G45">
        <v>22.37</v>
      </c>
      <c r="H45">
        <v>-0.07</v>
      </c>
      <c r="I45">
        <v>-0.3129</v>
      </c>
      <c r="J45">
        <v>14124.2</v>
      </c>
      <c r="K45">
        <v>31462.381</v>
      </c>
      <c r="L45" t="s">
        <v>103</v>
      </c>
      <c r="M45" t="s">
        <v>104</v>
      </c>
      <c r="N45" s="3">
        <v>45294</v>
      </c>
      <c r="O45">
        <v>44</v>
      </c>
      <c r="P45">
        <v>66</v>
      </c>
      <c r="Q45">
        <v>-22</v>
      </c>
      <c r="R45" t="s">
        <v>105</v>
      </c>
    </row>
    <row r="46" spans="1:18">
      <c r="A46" t="s">
        <v>66</v>
      </c>
      <c r="B46" s="3">
        <v>45264</v>
      </c>
      <c r="C46">
        <v>22.49</v>
      </c>
      <c r="D46">
        <v>24.8</v>
      </c>
      <c r="E46">
        <v>22.44</v>
      </c>
      <c r="F46">
        <v>22.72</v>
      </c>
      <c r="G46">
        <v>22.3</v>
      </c>
      <c r="H46">
        <v>0.42</v>
      </c>
      <c r="I46">
        <v>1.8834</v>
      </c>
      <c r="J46">
        <v>27096</v>
      </c>
      <c r="K46">
        <v>61788.179</v>
      </c>
      <c r="L46" t="s">
        <v>103</v>
      </c>
      <c r="M46" t="s">
        <v>104</v>
      </c>
      <c r="N46" s="3">
        <v>45294</v>
      </c>
      <c r="O46">
        <v>45</v>
      </c>
      <c r="P46">
        <v>66</v>
      </c>
      <c r="Q46">
        <v>-21</v>
      </c>
      <c r="R46" t="s">
        <v>105</v>
      </c>
    </row>
    <row r="47" spans="1:18">
      <c r="A47" t="s">
        <v>66</v>
      </c>
      <c r="B47" s="3">
        <v>45265</v>
      </c>
      <c r="C47">
        <v>22.71</v>
      </c>
      <c r="D47">
        <v>22.73</v>
      </c>
      <c r="E47">
        <v>22.13</v>
      </c>
      <c r="F47">
        <v>22.15</v>
      </c>
      <c r="G47">
        <v>22.72</v>
      </c>
      <c r="H47">
        <v>-0.57</v>
      </c>
      <c r="I47">
        <v>-2.5088</v>
      </c>
      <c r="J47">
        <v>19260.66</v>
      </c>
      <c r="K47">
        <v>43008.078</v>
      </c>
      <c r="L47" t="s">
        <v>103</v>
      </c>
      <c r="M47" t="s">
        <v>104</v>
      </c>
      <c r="N47" s="3">
        <v>45294</v>
      </c>
      <c r="O47">
        <v>46</v>
      </c>
      <c r="P47">
        <v>66</v>
      </c>
      <c r="Q47">
        <v>-20</v>
      </c>
      <c r="R47" t="s">
        <v>105</v>
      </c>
    </row>
    <row r="48" spans="1:18">
      <c r="A48" t="s">
        <v>66</v>
      </c>
      <c r="B48" s="3">
        <v>45266</v>
      </c>
      <c r="C48">
        <v>22.06</v>
      </c>
      <c r="D48">
        <v>22.68</v>
      </c>
      <c r="E48">
        <v>22.05</v>
      </c>
      <c r="F48">
        <v>22.44</v>
      </c>
      <c r="G48">
        <v>22.15</v>
      </c>
      <c r="H48">
        <v>0.29</v>
      </c>
      <c r="I48">
        <v>1.3093</v>
      </c>
      <c r="J48">
        <v>16282.6</v>
      </c>
      <c r="K48">
        <v>36429.914</v>
      </c>
      <c r="L48" t="s">
        <v>103</v>
      </c>
      <c r="M48" t="s">
        <v>104</v>
      </c>
      <c r="N48" s="3">
        <v>45294</v>
      </c>
      <c r="O48">
        <v>47</v>
      </c>
      <c r="P48">
        <v>66</v>
      </c>
      <c r="Q48">
        <v>-19</v>
      </c>
      <c r="R48" t="s">
        <v>105</v>
      </c>
    </row>
    <row r="49" spans="1:18">
      <c r="A49" t="s">
        <v>66</v>
      </c>
      <c r="B49" s="3">
        <v>45267</v>
      </c>
      <c r="C49">
        <v>22.5</v>
      </c>
      <c r="D49">
        <v>22.66</v>
      </c>
      <c r="E49">
        <v>22.32</v>
      </c>
      <c r="F49">
        <v>22.58</v>
      </c>
      <c r="G49">
        <v>22.44</v>
      </c>
      <c r="H49">
        <v>0.14</v>
      </c>
      <c r="I49">
        <v>0.6239</v>
      </c>
      <c r="J49">
        <v>15245.8</v>
      </c>
      <c r="K49">
        <v>34257.649</v>
      </c>
      <c r="L49" t="s">
        <v>103</v>
      </c>
      <c r="M49" t="s">
        <v>104</v>
      </c>
      <c r="N49" s="3">
        <v>45294</v>
      </c>
      <c r="O49">
        <v>48</v>
      </c>
      <c r="P49">
        <v>66</v>
      </c>
      <c r="Q49">
        <v>-18</v>
      </c>
      <c r="R49" t="s">
        <v>105</v>
      </c>
    </row>
    <row r="50" spans="1:18">
      <c r="A50" t="s">
        <v>66</v>
      </c>
      <c r="B50" s="3">
        <v>45268</v>
      </c>
      <c r="C50">
        <v>22.42</v>
      </c>
      <c r="D50">
        <v>22.79</v>
      </c>
      <c r="E50">
        <v>22.01</v>
      </c>
      <c r="F50">
        <v>22.04</v>
      </c>
      <c r="G50">
        <v>22.58</v>
      </c>
      <c r="H50">
        <v>-0.54</v>
      </c>
      <c r="I50">
        <v>-2.3915</v>
      </c>
      <c r="J50">
        <v>11837.6</v>
      </c>
      <c r="K50">
        <v>26408.719</v>
      </c>
      <c r="L50" t="s">
        <v>103</v>
      </c>
      <c r="M50" t="s">
        <v>104</v>
      </c>
      <c r="N50" s="3">
        <v>45294</v>
      </c>
      <c r="O50">
        <v>49</v>
      </c>
      <c r="P50">
        <v>66</v>
      </c>
      <c r="Q50">
        <v>-17</v>
      </c>
      <c r="R50" t="s">
        <v>105</v>
      </c>
    </row>
    <row r="51" spans="1:18">
      <c r="A51" t="s">
        <v>66</v>
      </c>
      <c r="B51" s="3">
        <v>45271</v>
      </c>
      <c r="C51">
        <v>22.04</v>
      </c>
      <c r="D51">
        <v>22.34</v>
      </c>
      <c r="E51">
        <v>21.52</v>
      </c>
      <c r="F51">
        <v>22.3</v>
      </c>
      <c r="G51">
        <v>22.04</v>
      </c>
      <c r="H51">
        <v>0.26</v>
      </c>
      <c r="I51">
        <v>1.1797</v>
      </c>
      <c r="J51">
        <v>12436.3</v>
      </c>
      <c r="K51">
        <v>27460.222</v>
      </c>
      <c r="L51" t="s">
        <v>103</v>
      </c>
      <c r="M51" t="s">
        <v>104</v>
      </c>
      <c r="N51" s="3">
        <v>45294</v>
      </c>
      <c r="O51">
        <v>50</v>
      </c>
      <c r="P51">
        <v>66</v>
      </c>
      <c r="Q51">
        <v>-16</v>
      </c>
      <c r="R51" t="s">
        <v>105</v>
      </c>
    </row>
    <row r="52" spans="1:18">
      <c r="A52" t="s">
        <v>66</v>
      </c>
      <c r="B52" s="3">
        <v>45272</v>
      </c>
      <c r="C52">
        <v>22.3</v>
      </c>
      <c r="D52">
        <v>22.4</v>
      </c>
      <c r="E52">
        <v>22.02</v>
      </c>
      <c r="F52">
        <v>22.31</v>
      </c>
      <c r="G52">
        <v>22.3</v>
      </c>
      <c r="H52">
        <v>0.01</v>
      </c>
      <c r="I52">
        <v>0.0448</v>
      </c>
      <c r="J52">
        <v>9880.2</v>
      </c>
      <c r="K52">
        <v>21928.426</v>
      </c>
      <c r="L52" t="s">
        <v>103</v>
      </c>
      <c r="M52" t="s">
        <v>104</v>
      </c>
      <c r="N52" s="3">
        <v>45294</v>
      </c>
      <c r="O52">
        <v>51</v>
      </c>
      <c r="P52">
        <v>66</v>
      </c>
      <c r="Q52">
        <v>-15</v>
      </c>
      <c r="R52" t="s">
        <v>105</v>
      </c>
    </row>
    <row r="53" spans="1:18">
      <c r="A53" t="s">
        <v>66</v>
      </c>
      <c r="B53" s="3">
        <v>45273</v>
      </c>
      <c r="C53">
        <v>22.39</v>
      </c>
      <c r="D53">
        <v>22.59</v>
      </c>
      <c r="E53">
        <v>22.13</v>
      </c>
      <c r="F53">
        <v>22.19</v>
      </c>
      <c r="G53">
        <v>22.31</v>
      </c>
      <c r="H53">
        <v>-0.12</v>
      </c>
      <c r="I53">
        <v>-0.5379</v>
      </c>
      <c r="J53">
        <v>7972.6</v>
      </c>
      <c r="K53">
        <v>17794.129</v>
      </c>
      <c r="L53" t="s">
        <v>103</v>
      </c>
      <c r="M53" t="s">
        <v>104</v>
      </c>
      <c r="N53" s="3">
        <v>45294</v>
      </c>
      <c r="O53">
        <v>52</v>
      </c>
      <c r="P53">
        <v>66</v>
      </c>
      <c r="Q53">
        <v>-14</v>
      </c>
      <c r="R53" t="s">
        <v>105</v>
      </c>
    </row>
    <row r="54" spans="1:18">
      <c r="A54" t="s">
        <v>66</v>
      </c>
      <c r="B54" s="3">
        <v>45274</v>
      </c>
      <c r="C54">
        <v>22.3</v>
      </c>
      <c r="D54">
        <v>22.55</v>
      </c>
      <c r="E54">
        <v>22.16</v>
      </c>
      <c r="F54">
        <v>22.18</v>
      </c>
      <c r="G54">
        <v>22.19</v>
      </c>
      <c r="H54">
        <v>-0.01</v>
      </c>
      <c r="I54">
        <v>-0.0451</v>
      </c>
      <c r="J54">
        <v>7310.72</v>
      </c>
      <c r="K54">
        <v>16332.461</v>
      </c>
      <c r="L54" t="s">
        <v>103</v>
      </c>
      <c r="M54" t="s">
        <v>104</v>
      </c>
      <c r="N54" s="3">
        <v>45294</v>
      </c>
      <c r="O54">
        <v>53</v>
      </c>
      <c r="P54">
        <v>66</v>
      </c>
      <c r="Q54">
        <v>-13</v>
      </c>
      <c r="R54" t="s">
        <v>105</v>
      </c>
    </row>
    <row r="55" spans="1:18">
      <c r="A55" t="s">
        <v>66</v>
      </c>
      <c r="B55" s="3">
        <v>45275</v>
      </c>
      <c r="C55">
        <v>22.43</v>
      </c>
      <c r="D55">
        <v>22.43</v>
      </c>
      <c r="E55">
        <v>21.92</v>
      </c>
      <c r="F55">
        <v>22</v>
      </c>
      <c r="G55">
        <v>22.18</v>
      </c>
      <c r="H55">
        <v>-0.18</v>
      </c>
      <c r="I55">
        <v>-0.8115</v>
      </c>
      <c r="J55">
        <v>7583.6</v>
      </c>
      <c r="K55">
        <v>16692.916</v>
      </c>
      <c r="L55" t="s">
        <v>103</v>
      </c>
      <c r="M55" t="s">
        <v>104</v>
      </c>
      <c r="N55" s="3">
        <v>45294</v>
      </c>
      <c r="O55">
        <v>54</v>
      </c>
      <c r="P55">
        <v>66</v>
      </c>
      <c r="Q55">
        <v>-12</v>
      </c>
      <c r="R55" t="s">
        <v>105</v>
      </c>
    </row>
    <row r="56" spans="1:18">
      <c r="A56" t="s">
        <v>66</v>
      </c>
      <c r="B56" s="3">
        <v>45278</v>
      </c>
      <c r="C56">
        <v>22.15</v>
      </c>
      <c r="D56">
        <v>22.32</v>
      </c>
      <c r="E56">
        <v>21.71</v>
      </c>
      <c r="F56">
        <v>21.84</v>
      </c>
      <c r="G56">
        <v>22</v>
      </c>
      <c r="H56">
        <v>-0.16</v>
      </c>
      <c r="I56">
        <v>-0.7273</v>
      </c>
      <c r="J56">
        <v>11538.08</v>
      </c>
      <c r="K56">
        <v>25467.509</v>
      </c>
      <c r="L56" t="s">
        <v>103</v>
      </c>
      <c r="M56" t="s">
        <v>104</v>
      </c>
      <c r="N56" s="3">
        <v>45294</v>
      </c>
      <c r="O56">
        <v>55</v>
      </c>
      <c r="P56">
        <v>66</v>
      </c>
      <c r="Q56">
        <v>-11</v>
      </c>
      <c r="R56" t="s">
        <v>105</v>
      </c>
    </row>
    <row r="57" spans="1:18">
      <c r="A57" t="s">
        <v>66</v>
      </c>
      <c r="B57" s="3">
        <v>45279</v>
      </c>
      <c r="C57">
        <v>21.8</v>
      </c>
      <c r="D57">
        <v>22.16</v>
      </c>
      <c r="E57">
        <v>21.61</v>
      </c>
      <c r="F57">
        <v>22.02</v>
      </c>
      <c r="G57">
        <v>21.84</v>
      </c>
      <c r="H57">
        <v>0.18</v>
      </c>
      <c r="I57">
        <v>0.8242</v>
      </c>
      <c r="J57">
        <v>8426.28</v>
      </c>
      <c r="K57">
        <v>18424.72</v>
      </c>
      <c r="L57" t="s">
        <v>103</v>
      </c>
      <c r="M57" t="s">
        <v>104</v>
      </c>
      <c r="N57" s="3">
        <v>45294</v>
      </c>
      <c r="O57">
        <v>56</v>
      </c>
      <c r="P57">
        <v>66</v>
      </c>
      <c r="Q57">
        <v>-10</v>
      </c>
      <c r="R57" t="s">
        <v>105</v>
      </c>
    </row>
    <row r="58" spans="1:18">
      <c r="A58" t="s">
        <v>66</v>
      </c>
      <c r="B58" s="3">
        <v>45280</v>
      </c>
      <c r="C58">
        <v>22.02</v>
      </c>
      <c r="D58">
        <v>22.55</v>
      </c>
      <c r="E58">
        <v>21.97</v>
      </c>
      <c r="F58">
        <v>22</v>
      </c>
      <c r="G58">
        <v>22.02</v>
      </c>
      <c r="H58">
        <v>-0.02</v>
      </c>
      <c r="I58">
        <v>-0.0908</v>
      </c>
      <c r="J58">
        <v>10361.06</v>
      </c>
      <c r="K58">
        <v>23089.168</v>
      </c>
      <c r="L58" t="s">
        <v>103</v>
      </c>
      <c r="M58" t="s">
        <v>104</v>
      </c>
      <c r="N58" s="3">
        <v>45294</v>
      </c>
      <c r="O58">
        <v>57</v>
      </c>
      <c r="P58">
        <v>66</v>
      </c>
      <c r="Q58">
        <v>-9</v>
      </c>
      <c r="R58" t="s">
        <v>105</v>
      </c>
    </row>
    <row r="59" spans="1:18">
      <c r="A59" t="s">
        <v>66</v>
      </c>
      <c r="B59" s="3">
        <v>45281</v>
      </c>
      <c r="C59">
        <v>22</v>
      </c>
      <c r="D59">
        <v>22.18</v>
      </c>
      <c r="E59">
        <v>21.42</v>
      </c>
      <c r="F59">
        <v>22.05</v>
      </c>
      <c r="G59">
        <v>22</v>
      </c>
      <c r="H59">
        <v>0.05</v>
      </c>
      <c r="I59">
        <v>0.2273</v>
      </c>
      <c r="J59">
        <v>10541.18</v>
      </c>
      <c r="K59">
        <v>22994.675</v>
      </c>
      <c r="L59" t="s">
        <v>103</v>
      </c>
      <c r="M59" t="s">
        <v>104</v>
      </c>
      <c r="N59" s="3">
        <v>45294</v>
      </c>
      <c r="O59">
        <v>58</v>
      </c>
      <c r="P59">
        <v>66</v>
      </c>
      <c r="Q59">
        <v>-8</v>
      </c>
      <c r="R59" t="s">
        <v>105</v>
      </c>
    </row>
    <row r="60" spans="1:18">
      <c r="A60" t="s">
        <v>66</v>
      </c>
      <c r="B60" s="3">
        <v>45282</v>
      </c>
      <c r="C60">
        <v>22.03</v>
      </c>
      <c r="D60">
        <v>22.13</v>
      </c>
      <c r="E60">
        <v>21.36</v>
      </c>
      <c r="F60">
        <v>21.51</v>
      </c>
      <c r="G60">
        <v>22.05</v>
      </c>
      <c r="H60">
        <v>-0.54</v>
      </c>
      <c r="I60">
        <v>-2.449</v>
      </c>
      <c r="J60">
        <v>8203.5</v>
      </c>
      <c r="K60">
        <v>17794.71</v>
      </c>
      <c r="L60" t="s">
        <v>103</v>
      </c>
      <c r="M60" t="s">
        <v>104</v>
      </c>
      <c r="N60" s="3">
        <v>45294</v>
      </c>
      <c r="O60">
        <v>59</v>
      </c>
      <c r="P60">
        <v>66</v>
      </c>
      <c r="Q60">
        <v>-7</v>
      </c>
      <c r="R60" t="s">
        <v>105</v>
      </c>
    </row>
    <row r="61" spans="1:18">
      <c r="A61" t="s">
        <v>66</v>
      </c>
      <c r="B61" s="3">
        <v>45285</v>
      </c>
      <c r="C61">
        <v>21.67</v>
      </c>
      <c r="D61">
        <v>21.68</v>
      </c>
      <c r="E61">
        <v>21.06</v>
      </c>
      <c r="F61">
        <v>21.45</v>
      </c>
      <c r="G61">
        <v>21.51</v>
      </c>
      <c r="H61">
        <v>-0.06</v>
      </c>
      <c r="I61">
        <v>-0.2789</v>
      </c>
      <c r="J61">
        <v>10325.54</v>
      </c>
      <c r="K61">
        <v>22040.634</v>
      </c>
      <c r="L61" t="s">
        <v>103</v>
      </c>
      <c r="M61" t="s">
        <v>104</v>
      </c>
      <c r="N61" s="3">
        <v>45294</v>
      </c>
      <c r="O61">
        <v>60</v>
      </c>
      <c r="P61">
        <v>66</v>
      </c>
      <c r="Q61">
        <v>-6</v>
      </c>
      <c r="R61" t="s">
        <v>105</v>
      </c>
    </row>
    <row r="62" spans="1:18">
      <c r="A62" t="s">
        <v>66</v>
      </c>
      <c r="B62" s="3">
        <v>45286</v>
      </c>
      <c r="C62">
        <v>21.36</v>
      </c>
      <c r="D62">
        <v>21.58</v>
      </c>
      <c r="E62">
        <v>20.81</v>
      </c>
      <c r="F62">
        <v>21.03</v>
      </c>
      <c r="G62">
        <v>21.45</v>
      </c>
      <c r="H62">
        <v>-0.42</v>
      </c>
      <c r="I62">
        <v>-1.958</v>
      </c>
      <c r="J62">
        <v>9400.45</v>
      </c>
      <c r="K62">
        <v>19752.821</v>
      </c>
      <c r="L62" t="s">
        <v>103</v>
      </c>
      <c r="M62" t="s">
        <v>104</v>
      </c>
      <c r="N62" s="3">
        <v>45294</v>
      </c>
      <c r="O62">
        <v>61</v>
      </c>
      <c r="P62">
        <v>66</v>
      </c>
      <c r="Q62">
        <v>-5</v>
      </c>
      <c r="R62" t="s">
        <v>105</v>
      </c>
    </row>
    <row r="63" spans="1:18">
      <c r="A63" t="s">
        <v>66</v>
      </c>
      <c r="B63" s="3">
        <v>45287</v>
      </c>
      <c r="C63">
        <v>21.05</v>
      </c>
      <c r="D63">
        <v>21.49</v>
      </c>
      <c r="E63">
        <v>20.95</v>
      </c>
      <c r="F63">
        <v>21.39</v>
      </c>
      <c r="G63">
        <v>21.03</v>
      </c>
      <c r="H63">
        <v>0.36</v>
      </c>
      <c r="I63">
        <v>1.7118</v>
      </c>
      <c r="J63">
        <v>7283.32</v>
      </c>
      <c r="K63">
        <v>15480.431</v>
      </c>
      <c r="L63" t="s">
        <v>103</v>
      </c>
      <c r="M63" t="s">
        <v>104</v>
      </c>
      <c r="N63" s="3">
        <v>45294</v>
      </c>
      <c r="O63">
        <v>62</v>
      </c>
      <c r="P63">
        <v>66</v>
      </c>
      <c r="Q63">
        <v>-4</v>
      </c>
      <c r="R63" t="s">
        <v>105</v>
      </c>
    </row>
    <row r="64" spans="1:18">
      <c r="A64" t="s">
        <v>66</v>
      </c>
      <c r="B64" s="3">
        <v>45288</v>
      </c>
      <c r="C64">
        <v>21.4</v>
      </c>
      <c r="D64">
        <v>21.88</v>
      </c>
      <c r="E64">
        <v>20.97</v>
      </c>
      <c r="F64">
        <v>21.79</v>
      </c>
      <c r="G64">
        <v>21.39</v>
      </c>
      <c r="H64">
        <v>0.4</v>
      </c>
      <c r="I64">
        <v>1.87</v>
      </c>
      <c r="J64">
        <v>8968.6</v>
      </c>
      <c r="K64">
        <v>19315.66</v>
      </c>
      <c r="L64" t="s">
        <v>103</v>
      </c>
      <c r="M64" t="s">
        <v>104</v>
      </c>
      <c r="N64" s="3">
        <v>45294</v>
      </c>
      <c r="O64">
        <v>63</v>
      </c>
      <c r="P64">
        <v>66</v>
      </c>
      <c r="Q64">
        <v>-3</v>
      </c>
      <c r="R64" t="s">
        <v>105</v>
      </c>
    </row>
    <row r="65" spans="1:19">
      <c r="A65" t="s">
        <v>66</v>
      </c>
      <c r="B65" s="3">
        <v>45289</v>
      </c>
      <c r="C65">
        <v>21.82</v>
      </c>
      <c r="D65">
        <v>22.57</v>
      </c>
      <c r="E65">
        <v>21.67</v>
      </c>
      <c r="F65">
        <v>22.54</v>
      </c>
      <c r="G65">
        <v>21.79</v>
      </c>
      <c r="H65">
        <v>0.75</v>
      </c>
      <c r="I65">
        <v>3.4419</v>
      </c>
      <c r="J65">
        <v>10966.44</v>
      </c>
      <c r="K65">
        <v>24432.257</v>
      </c>
      <c r="L65" t="s">
        <v>103</v>
      </c>
      <c r="M65" t="s">
        <v>104</v>
      </c>
      <c r="N65" s="3">
        <v>45294</v>
      </c>
      <c r="O65">
        <v>64</v>
      </c>
      <c r="P65">
        <v>66</v>
      </c>
      <c r="Q65">
        <v>-2</v>
      </c>
      <c r="R65" t="s">
        <v>105</v>
      </c>
    </row>
    <row r="66" spans="1:19">
      <c r="A66" t="s">
        <v>66</v>
      </c>
      <c r="B66" s="3">
        <v>45293</v>
      </c>
      <c r="C66">
        <v>22.43</v>
      </c>
      <c r="D66">
        <v>22.75</v>
      </c>
      <c r="E66">
        <v>22.23</v>
      </c>
      <c r="F66">
        <v>22.61</v>
      </c>
      <c r="G66">
        <v>22.54</v>
      </c>
      <c r="H66">
        <v>0.07</v>
      </c>
      <c r="I66">
        <v>0.3106</v>
      </c>
      <c r="J66">
        <v>12166.2</v>
      </c>
      <c r="K66">
        <v>27429.54</v>
      </c>
      <c r="L66" t="s">
        <v>103</v>
      </c>
      <c r="M66" t="s">
        <v>104</v>
      </c>
      <c r="N66" s="3">
        <v>45294</v>
      </c>
      <c r="O66">
        <v>65</v>
      </c>
      <c r="P66">
        <v>66</v>
      </c>
      <c r="Q66">
        <v>-1</v>
      </c>
      <c r="R66" t="s">
        <v>105</v>
      </c>
    </row>
    <row r="67" spans="1:19">
      <c r="A67" t="s">
        <v>66</v>
      </c>
      <c r="B67" s="3">
        <v>45294</v>
      </c>
      <c r="C67">
        <v>22.57</v>
      </c>
      <c r="D67">
        <v>22.74</v>
      </c>
      <c r="E67">
        <v>22.41</v>
      </c>
      <c r="F67">
        <v>22.64</v>
      </c>
      <c r="G67">
        <v>22.61</v>
      </c>
      <c r="H67">
        <v>0.03</v>
      </c>
      <c r="I67">
        <v>0.1327</v>
      </c>
      <c r="J67">
        <v>9142</v>
      </c>
      <c r="K67">
        <v>20649.438</v>
      </c>
      <c r="L67" t="s">
        <v>103</v>
      </c>
      <c r="M67" t="s">
        <v>104</v>
      </c>
      <c r="N67" s="3">
        <v>45294</v>
      </c>
      <c r="O67">
        <v>66</v>
      </c>
      <c r="P67">
        <v>66</v>
      </c>
      <c r="Q67">
        <v>0</v>
      </c>
      <c r="R67" t="s">
        <v>106</v>
      </c>
      <c r="S67" t="s">
        <v>168</v>
      </c>
    </row>
    <row r="68" spans="1:19">
      <c r="A68" t="s">
        <v>66</v>
      </c>
      <c r="B68" s="3">
        <v>45295</v>
      </c>
      <c r="C68">
        <v>22.65</v>
      </c>
      <c r="D68">
        <v>22.8</v>
      </c>
      <c r="E68">
        <v>22.44</v>
      </c>
      <c r="F68">
        <v>22.58</v>
      </c>
      <c r="G68">
        <v>22.64</v>
      </c>
      <c r="H68">
        <v>-0.06</v>
      </c>
      <c r="I68">
        <v>-0.265</v>
      </c>
      <c r="J68">
        <v>7427.6</v>
      </c>
      <c r="K68">
        <v>16819.201</v>
      </c>
      <c r="L68" t="s">
        <v>103</v>
      </c>
      <c r="M68" t="s">
        <v>104</v>
      </c>
      <c r="N68" s="3">
        <v>45294</v>
      </c>
      <c r="O68">
        <v>67</v>
      </c>
      <c r="P68">
        <v>66</v>
      </c>
      <c r="Q68">
        <v>1</v>
      </c>
      <c r="R68" t="s">
        <v>107</v>
      </c>
    </row>
    <row r="69" spans="1:19">
      <c r="A69" t="s">
        <v>66</v>
      </c>
      <c r="B69" s="3">
        <v>45296</v>
      </c>
      <c r="C69">
        <v>22.74</v>
      </c>
      <c r="D69">
        <v>22.84</v>
      </c>
      <c r="E69">
        <v>22.38</v>
      </c>
      <c r="F69">
        <v>22.46</v>
      </c>
      <c r="G69">
        <v>22.58</v>
      </c>
      <c r="H69">
        <v>-0.12</v>
      </c>
      <c r="I69">
        <v>-0.5314</v>
      </c>
      <c r="J69">
        <v>10565.7</v>
      </c>
      <c r="K69">
        <v>23854.205</v>
      </c>
      <c r="L69" t="s">
        <v>103</v>
      </c>
      <c r="M69" t="s">
        <v>104</v>
      </c>
      <c r="N69" s="3">
        <v>45294</v>
      </c>
      <c r="O69">
        <v>68</v>
      </c>
      <c r="P69">
        <v>66</v>
      </c>
      <c r="Q69">
        <v>2</v>
      </c>
      <c r="R69" t="s">
        <v>107</v>
      </c>
    </row>
    <row r="70" spans="1:19">
      <c r="A70" t="s">
        <v>66</v>
      </c>
      <c r="B70" s="3">
        <v>45299</v>
      </c>
      <c r="C70">
        <v>22.46</v>
      </c>
      <c r="D70">
        <v>22.56</v>
      </c>
      <c r="E70">
        <v>21.99</v>
      </c>
      <c r="F70">
        <v>21.99</v>
      </c>
      <c r="G70">
        <v>22.46</v>
      </c>
      <c r="H70">
        <v>-0.47</v>
      </c>
      <c r="I70">
        <v>-2.0926</v>
      </c>
      <c r="J70">
        <v>9131.81</v>
      </c>
      <c r="K70">
        <v>20334.594</v>
      </c>
      <c r="L70" t="s">
        <v>103</v>
      </c>
      <c r="M70" t="s">
        <v>104</v>
      </c>
      <c r="N70" s="3">
        <v>45294</v>
      </c>
      <c r="O70">
        <v>69</v>
      </c>
      <c r="P70">
        <v>66</v>
      </c>
      <c r="Q70">
        <v>3</v>
      </c>
      <c r="R70" t="s">
        <v>107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68</v>
      </c>
    </row>
    <row r="3" spans="1:2">
      <c r="A3" s="5" t="s">
        <v>75</v>
      </c>
      <c r="B3" s="6" t="s">
        <v>69</v>
      </c>
    </row>
    <row r="4" spans="1:2">
      <c r="A4" s="5" t="s">
        <v>2</v>
      </c>
      <c r="B4" s="7">
        <v>45996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45991</v>
      </c>
    </row>
    <row r="9" spans="1:2">
      <c r="A9" s="5" t="s">
        <v>1</v>
      </c>
      <c r="B9">
        <v>23</v>
      </c>
    </row>
    <row r="10" spans="1:2">
      <c r="A10" s="5" t="s">
        <v>6</v>
      </c>
      <c r="B10" t="s">
        <v>17</v>
      </c>
    </row>
    <row r="11" spans="1:2">
      <c r="A11" s="5" t="s">
        <v>7</v>
      </c>
      <c r="B11" t="s">
        <v>26</v>
      </c>
    </row>
    <row r="12" spans="1:2">
      <c r="A12" s="5" t="s">
        <v>5</v>
      </c>
      <c r="B12" s="3" t="s">
        <v>16</v>
      </c>
    </row>
    <row r="13" ht="28" spans="1:2">
      <c r="A13" s="5" t="s">
        <v>80</v>
      </c>
      <c r="B13" s="9" t="s">
        <v>169</v>
      </c>
    </row>
    <row r="14" spans="1:2">
      <c r="A14" s="5" t="s">
        <v>13</v>
      </c>
      <c r="B14" s="9" t="s">
        <v>156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A1" sqref="A1"/>
    </sheetView>
  </sheetViews>
  <sheetFormatPr defaultColWidth="9" defaultRowHeight="14" outlineLevelRow="1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68</v>
      </c>
      <c r="B2" s="3">
        <v>45996</v>
      </c>
      <c r="C2">
        <v>650</v>
      </c>
      <c r="D2">
        <v>688</v>
      </c>
      <c r="E2">
        <v>556</v>
      </c>
      <c r="F2">
        <v>600.5</v>
      </c>
      <c r="G2">
        <v>114.28</v>
      </c>
      <c r="H2">
        <v>486.22</v>
      </c>
      <c r="I2">
        <v>425.4638</v>
      </c>
      <c r="J2">
        <v>251200.82</v>
      </c>
      <c r="K2">
        <v>15307104.038</v>
      </c>
      <c r="L2" t="s">
        <v>103</v>
      </c>
      <c r="M2" t="s">
        <v>104</v>
      </c>
      <c r="N2" s="3">
        <v>45996</v>
      </c>
      <c r="O2">
        <v>1</v>
      </c>
      <c r="P2">
        <v>1</v>
      </c>
      <c r="Q2">
        <v>0</v>
      </c>
      <c r="R2" t="s">
        <v>106</v>
      </c>
      <c r="S2" t="s">
        <v>170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0" customWidth="1"/>
  </cols>
  <sheetData>
    <row r="1" spans="1:2">
      <c r="A1" s="4" t="s">
        <v>73</v>
      </c>
      <c r="B1" s="4" t="s">
        <v>74</v>
      </c>
    </row>
    <row r="2" spans="1:2">
      <c r="A2" s="5" t="s">
        <v>0</v>
      </c>
      <c r="B2" t="s">
        <v>70</v>
      </c>
    </row>
    <row r="3" ht="28" spans="1:2">
      <c r="A3" s="5" t="s">
        <v>75</v>
      </c>
      <c r="B3" s="6" t="s">
        <v>71</v>
      </c>
    </row>
    <row r="4" spans="1:2">
      <c r="A4" s="5" t="s">
        <v>2</v>
      </c>
      <c r="B4" s="7">
        <v>45565</v>
      </c>
    </row>
    <row r="5" spans="1:2">
      <c r="A5" s="5" t="s">
        <v>76</v>
      </c>
      <c r="B5" s="8" t="s">
        <v>77</v>
      </c>
    </row>
    <row r="6" spans="1:2">
      <c r="A6" s="5" t="s">
        <v>78</v>
      </c>
      <c r="B6" s="8" t="s">
        <v>79</v>
      </c>
    </row>
    <row r="7" ht="28" spans="1:2">
      <c r="A7" s="5" t="s">
        <v>84</v>
      </c>
      <c r="B7" s="9" t="s">
        <v>142</v>
      </c>
    </row>
    <row r="8" spans="1:2">
      <c r="A8" s="5" t="s">
        <v>118</v>
      </c>
      <c r="B8" s="10">
        <v>45563</v>
      </c>
    </row>
    <row r="9" spans="1:2">
      <c r="A9" s="5" t="s">
        <v>1</v>
      </c>
      <c r="B9">
        <v>3</v>
      </c>
    </row>
    <row r="10" spans="1:2">
      <c r="A10" s="5" t="s">
        <v>6</v>
      </c>
      <c r="B10" t="s">
        <v>23</v>
      </c>
    </row>
    <row r="11" spans="1:2">
      <c r="A11" s="5" t="s">
        <v>7</v>
      </c>
      <c r="B11" t="s">
        <v>18</v>
      </c>
    </row>
    <row r="12" spans="1:2">
      <c r="A12" s="5" t="s">
        <v>5</v>
      </c>
      <c r="B12" s="3" t="s">
        <v>22</v>
      </c>
    </row>
    <row r="13" ht="42" spans="1:2">
      <c r="A13" s="5" t="s">
        <v>80</v>
      </c>
      <c r="B13" s="9" t="s">
        <v>171</v>
      </c>
    </row>
    <row r="14" spans="1:2">
      <c r="A14" s="5" t="s">
        <v>13</v>
      </c>
      <c r="B14" s="9" t="s">
        <v>156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0"/>
  <sheetViews>
    <sheetView workbookViewId="0">
      <selection activeCell="A1" sqref="A1"/>
    </sheetView>
  </sheetViews>
  <sheetFormatPr defaultColWidth="9" defaultRowHeight="14"/>
  <cols>
    <col min="1" max="1" width="12" customWidth="1"/>
    <col min="3" max="3" width="10" customWidth="1"/>
    <col min="10" max="10" width="14" customWidth="1"/>
    <col min="12" max="12" width="16" customWidth="1"/>
    <col min="13" max="13" width="12" customWidth="1"/>
    <col min="15" max="15" width="10" customWidth="1"/>
    <col min="16" max="16" width="12" customWidth="1"/>
    <col min="17" max="17" width="10" customWidth="1"/>
    <col min="18" max="18" width="18" customWidth="1"/>
    <col min="19" max="19" width="24" customWidth="1"/>
  </cols>
  <sheetData>
    <row r="1" spans="1:1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76</v>
      </c>
      <c r="M1" s="2" t="s">
        <v>97</v>
      </c>
      <c r="N1" s="2" t="s">
        <v>2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</row>
    <row r="2" spans="1:19">
      <c r="A2" t="s">
        <v>70</v>
      </c>
      <c r="B2" s="3">
        <v>45461</v>
      </c>
      <c r="C2">
        <v>3.64</v>
      </c>
      <c r="D2">
        <v>3.74</v>
      </c>
      <c r="E2">
        <v>3.64</v>
      </c>
      <c r="F2">
        <v>3.72</v>
      </c>
      <c r="G2">
        <v>3.66</v>
      </c>
      <c r="H2">
        <v>0.06</v>
      </c>
      <c r="I2">
        <v>1.6393</v>
      </c>
      <c r="J2">
        <v>235492.01</v>
      </c>
      <c r="K2">
        <v>87325.286</v>
      </c>
      <c r="L2" t="s">
        <v>103</v>
      </c>
      <c r="M2" t="s">
        <v>104</v>
      </c>
      <c r="N2" s="3">
        <v>45565</v>
      </c>
      <c r="O2">
        <v>1</v>
      </c>
      <c r="P2">
        <v>73</v>
      </c>
      <c r="Q2">
        <v>-72</v>
      </c>
      <c r="R2" t="s">
        <v>105</v>
      </c>
    </row>
    <row r="3" spans="1:19">
      <c r="A3" t="s">
        <v>70</v>
      </c>
      <c r="B3" s="3">
        <v>45462</v>
      </c>
      <c r="C3">
        <v>3.73</v>
      </c>
      <c r="D3">
        <v>3.75</v>
      </c>
      <c r="E3">
        <v>3.63</v>
      </c>
      <c r="F3">
        <v>3.63</v>
      </c>
      <c r="G3">
        <v>3.72</v>
      </c>
      <c r="H3">
        <v>-0.09</v>
      </c>
      <c r="I3">
        <v>-2.4194</v>
      </c>
      <c r="J3">
        <v>269414</v>
      </c>
      <c r="K3">
        <v>98927.201</v>
      </c>
      <c r="L3" t="s">
        <v>103</v>
      </c>
      <c r="M3" t="s">
        <v>104</v>
      </c>
      <c r="N3" s="3">
        <v>45565</v>
      </c>
      <c r="O3">
        <v>2</v>
      </c>
      <c r="P3">
        <v>73</v>
      </c>
      <c r="Q3">
        <v>-71</v>
      </c>
      <c r="R3" t="s">
        <v>105</v>
      </c>
    </row>
    <row r="4" spans="1:19">
      <c r="A4" t="s">
        <v>70</v>
      </c>
      <c r="B4" s="3">
        <v>45463</v>
      </c>
      <c r="C4">
        <v>3.65</v>
      </c>
      <c r="D4">
        <v>3.65</v>
      </c>
      <c r="E4">
        <v>3.45</v>
      </c>
      <c r="F4">
        <v>3.47</v>
      </c>
      <c r="G4">
        <v>3.63</v>
      </c>
      <c r="H4">
        <v>-0.16</v>
      </c>
      <c r="I4">
        <v>-4.4077</v>
      </c>
      <c r="J4">
        <v>543106.28</v>
      </c>
      <c r="K4">
        <v>191202.686</v>
      </c>
      <c r="L4" t="s">
        <v>103</v>
      </c>
      <c r="M4" t="s">
        <v>104</v>
      </c>
      <c r="N4" s="3">
        <v>45565</v>
      </c>
      <c r="O4">
        <v>3</v>
      </c>
      <c r="P4">
        <v>73</v>
      </c>
      <c r="Q4">
        <v>-70</v>
      </c>
      <c r="R4" t="s">
        <v>105</v>
      </c>
    </row>
    <row r="5" spans="1:19">
      <c r="A5" t="s">
        <v>70</v>
      </c>
      <c r="B5" s="3">
        <v>45464</v>
      </c>
      <c r="C5">
        <v>3.45</v>
      </c>
      <c r="D5">
        <v>3.52</v>
      </c>
      <c r="E5">
        <v>3.43</v>
      </c>
      <c r="F5">
        <v>3.48</v>
      </c>
      <c r="G5">
        <v>3.47</v>
      </c>
      <c r="H5">
        <v>0.01</v>
      </c>
      <c r="I5">
        <v>0.2882</v>
      </c>
      <c r="J5">
        <v>285369</v>
      </c>
      <c r="K5">
        <v>99419.962</v>
      </c>
      <c r="L5" t="s">
        <v>103</v>
      </c>
      <c r="M5" t="s">
        <v>104</v>
      </c>
      <c r="N5" s="3">
        <v>45565</v>
      </c>
      <c r="O5">
        <v>4</v>
      </c>
      <c r="P5">
        <v>73</v>
      </c>
      <c r="Q5">
        <v>-69</v>
      </c>
      <c r="R5" t="s">
        <v>105</v>
      </c>
    </row>
    <row r="6" spans="1:19">
      <c r="A6" t="s">
        <v>70</v>
      </c>
      <c r="B6" s="3">
        <v>45467</v>
      </c>
      <c r="C6">
        <v>3.47</v>
      </c>
      <c r="D6">
        <v>3.48</v>
      </c>
      <c r="E6">
        <v>3.34</v>
      </c>
      <c r="F6">
        <v>3.37</v>
      </c>
      <c r="G6">
        <v>3.48</v>
      </c>
      <c r="H6">
        <v>-0.11</v>
      </c>
      <c r="I6">
        <v>-3.1609</v>
      </c>
      <c r="J6">
        <v>374464.01</v>
      </c>
      <c r="K6">
        <v>127239.51</v>
      </c>
      <c r="L6" t="s">
        <v>103</v>
      </c>
      <c r="M6" t="s">
        <v>104</v>
      </c>
      <c r="N6" s="3">
        <v>45565</v>
      </c>
      <c r="O6">
        <v>5</v>
      </c>
      <c r="P6">
        <v>73</v>
      </c>
      <c r="Q6">
        <v>-68</v>
      </c>
      <c r="R6" t="s">
        <v>105</v>
      </c>
    </row>
    <row r="7" spans="1:19">
      <c r="A7" t="s">
        <v>70</v>
      </c>
      <c r="B7" s="3">
        <v>45468</v>
      </c>
      <c r="C7">
        <v>3.37</v>
      </c>
      <c r="D7">
        <v>3.42</v>
      </c>
      <c r="E7">
        <v>3.36</v>
      </c>
      <c r="F7">
        <v>3.38</v>
      </c>
      <c r="G7">
        <v>3.37</v>
      </c>
      <c r="H7">
        <v>0.01</v>
      </c>
      <c r="I7">
        <v>0.2967</v>
      </c>
      <c r="J7">
        <v>259870.76</v>
      </c>
      <c r="K7">
        <v>88137.716</v>
      </c>
      <c r="L7" t="s">
        <v>103</v>
      </c>
      <c r="M7" t="s">
        <v>104</v>
      </c>
      <c r="N7" s="3">
        <v>45565</v>
      </c>
      <c r="O7">
        <v>6</v>
      </c>
      <c r="P7">
        <v>73</v>
      </c>
      <c r="Q7">
        <v>-67</v>
      </c>
      <c r="R7" t="s">
        <v>105</v>
      </c>
    </row>
    <row r="8" spans="1:19">
      <c r="A8" t="s">
        <v>70</v>
      </c>
      <c r="B8" s="3">
        <v>45469</v>
      </c>
      <c r="C8">
        <v>3.38</v>
      </c>
      <c r="D8">
        <v>3.54</v>
      </c>
      <c r="E8">
        <v>3.34</v>
      </c>
      <c r="F8">
        <v>3.52</v>
      </c>
      <c r="G8">
        <v>3.38</v>
      </c>
      <c r="H8">
        <v>0.14</v>
      </c>
      <c r="I8">
        <v>4.142</v>
      </c>
      <c r="J8">
        <v>337136.95</v>
      </c>
      <c r="K8">
        <v>116257.743</v>
      </c>
      <c r="L8" t="s">
        <v>103</v>
      </c>
      <c r="M8" t="s">
        <v>104</v>
      </c>
      <c r="N8" s="3">
        <v>45565</v>
      </c>
      <c r="O8">
        <v>7</v>
      </c>
      <c r="P8">
        <v>73</v>
      </c>
      <c r="Q8">
        <v>-66</v>
      </c>
      <c r="R8" t="s">
        <v>105</v>
      </c>
    </row>
    <row r="9" spans="1:19">
      <c r="A9" t="s">
        <v>70</v>
      </c>
      <c r="B9" s="3">
        <v>45470</v>
      </c>
      <c r="C9">
        <v>3.53</v>
      </c>
      <c r="D9">
        <v>3.55</v>
      </c>
      <c r="E9">
        <v>3.42</v>
      </c>
      <c r="F9">
        <v>3.43</v>
      </c>
      <c r="G9">
        <v>3.52</v>
      </c>
      <c r="H9">
        <v>-0.09</v>
      </c>
      <c r="I9">
        <v>-2.5568</v>
      </c>
      <c r="J9">
        <v>242424.18</v>
      </c>
      <c r="K9">
        <v>84217.638</v>
      </c>
      <c r="L9" t="s">
        <v>103</v>
      </c>
      <c r="M9" t="s">
        <v>104</v>
      </c>
      <c r="N9" s="3">
        <v>45565</v>
      </c>
      <c r="O9">
        <v>8</v>
      </c>
      <c r="P9">
        <v>73</v>
      </c>
      <c r="Q9">
        <v>-65</v>
      </c>
      <c r="R9" t="s">
        <v>105</v>
      </c>
    </row>
    <row r="10" spans="1:19">
      <c r="A10" t="s">
        <v>70</v>
      </c>
      <c r="B10" s="3">
        <v>45471</v>
      </c>
      <c r="C10">
        <v>3.44</v>
      </c>
      <c r="D10">
        <v>3.5</v>
      </c>
      <c r="E10">
        <v>3.42</v>
      </c>
      <c r="F10">
        <v>3.43</v>
      </c>
      <c r="G10">
        <v>3.43</v>
      </c>
      <c r="H10">
        <v>0</v>
      </c>
      <c r="I10">
        <v>0</v>
      </c>
      <c r="J10">
        <v>219012.01</v>
      </c>
      <c r="K10">
        <v>75814.154</v>
      </c>
      <c r="L10" t="s">
        <v>103</v>
      </c>
      <c r="M10" t="s">
        <v>104</v>
      </c>
      <c r="N10" s="3">
        <v>45565</v>
      </c>
      <c r="O10">
        <v>9</v>
      </c>
      <c r="P10">
        <v>73</v>
      </c>
      <c r="Q10">
        <v>-64</v>
      </c>
      <c r="R10" t="s">
        <v>105</v>
      </c>
    </row>
    <row r="11" spans="1:19">
      <c r="A11" t="s">
        <v>70</v>
      </c>
      <c r="B11" s="3">
        <v>45474</v>
      </c>
      <c r="C11">
        <v>3.43</v>
      </c>
      <c r="D11">
        <v>3.48</v>
      </c>
      <c r="E11">
        <v>3.4</v>
      </c>
      <c r="F11">
        <v>3.47</v>
      </c>
      <c r="G11">
        <v>3.43</v>
      </c>
      <c r="H11">
        <v>0.04</v>
      </c>
      <c r="I11">
        <v>1.1662</v>
      </c>
      <c r="J11">
        <v>248335.01</v>
      </c>
      <c r="K11">
        <v>85698.476</v>
      </c>
      <c r="L11" t="s">
        <v>103</v>
      </c>
      <c r="M11" t="s">
        <v>104</v>
      </c>
      <c r="N11" s="3">
        <v>45565</v>
      </c>
      <c r="O11">
        <v>10</v>
      </c>
      <c r="P11">
        <v>73</v>
      </c>
      <c r="Q11">
        <v>-63</v>
      </c>
      <c r="R11" t="s">
        <v>105</v>
      </c>
    </row>
    <row r="12" spans="1:19">
      <c r="A12" t="s">
        <v>70</v>
      </c>
      <c r="B12" s="3">
        <v>45475</v>
      </c>
      <c r="C12">
        <v>3.46</v>
      </c>
      <c r="D12">
        <v>3.53</v>
      </c>
      <c r="E12">
        <v>3.45</v>
      </c>
      <c r="F12">
        <v>3.51</v>
      </c>
      <c r="G12">
        <v>3.47</v>
      </c>
      <c r="H12">
        <v>0.04</v>
      </c>
      <c r="I12">
        <v>1.1527</v>
      </c>
      <c r="J12">
        <v>304516.38</v>
      </c>
      <c r="K12">
        <v>106836.75</v>
      </c>
      <c r="L12" t="s">
        <v>103</v>
      </c>
      <c r="M12" t="s">
        <v>104</v>
      </c>
      <c r="N12" s="3">
        <v>45565</v>
      </c>
      <c r="O12">
        <v>11</v>
      </c>
      <c r="P12">
        <v>73</v>
      </c>
      <c r="Q12">
        <v>-62</v>
      </c>
      <c r="R12" t="s">
        <v>105</v>
      </c>
    </row>
    <row r="13" spans="1:19">
      <c r="A13" t="s">
        <v>70</v>
      </c>
      <c r="B13" s="3">
        <v>45476</v>
      </c>
      <c r="C13">
        <v>3.51</v>
      </c>
      <c r="D13">
        <v>3.59</v>
      </c>
      <c r="E13">
        <v>3.47</v>
      </c>
      <c r="F13">
        <v>3.54</v>
      </c>
      <c r="G13">
        <v>3.51</v>
      </c>
      <c r="H13">
        <v>0.03</v>
      </c>
      <c r="I13">
        <v>0.8547</v>
      </c>
      <c r="J13">
        <v>328976.19</v>
      </c>
      <c r="K13">
        <v>116915.505</v>
      </c>
      <c r="L13" t="s">
        <v>103</v>
      </c>
      <c r="M13" t="s">
        <v>104</v>
      </c>
      <c r="N13" s="3">
        <v>45565</v>
      </c>
      <c r="O13">
        <v>12</v>
      </c>
      <c r="P13">
        <v>73</v>
      </c>
      <c r="Q13">
        <v>-61</v>
      </c>
      <c r="R13" t="s">
        <v>105</v>
      </c>
    </row>
    <row r="14" spans="1:19">
      <c r="A14" t="s">
        <v>70</v>
      </c>
      <c r="B14" s="3">
        <v>45477</v>
      </c>
      <c r="C14">
        <v>3.54</v>
      </c>
      <c r="D14">
        <v>3.55</v>
      </c>
      <c r="E14">
        <v>3.42</v>
      </c>
      <c r="F14">
        <v>3.43</v>
      </c>
      <c r="G14">
        <v>3.54</v>
      </c>
      <c r="H14">
        <v>-0.11</v>
      </c>
      <c r="I14">
        <v>-3.1073</v>
      </c>
      <c r="J14">
        <v>250253.01</v>
      </c>
      <c r="K14">
        <v>86996.902</v>
      </c>
      <c r="L14" t="s">
        <v>103</v>
      </c>
      <c r="M14" t="s">
        <v>104</v>
      </c>
      <c r="N14" s="3">
        <v>45565</v>
      </c>
      <c r="O14">
        <v>13</v>
      </c>
      <c r="P14">
        <v>73</v>
      </c>
      <c r="Q14">
        <v>-60</v>
      </c>
      <c r="R14" t="s">
        <v>105</v>
      </c>
    </row>
    <row r="15" spans="1:19">
      <c r="A15" t="s">
        <v>70</v>
      </c>
      <c r="B15" s="3">
        <v>45478</v>
      </c>
      <c r="C15">
        <v>3.4</v>
      </c>
      <c r="D15">
        <v>3.5</v>
      </c>
      <c r="E15">
        <v>3.38</v>
      </c>
      <c r="F15">
        <v>3.49</v>
      </c>
      <c r="G15">
        <v>3.43</v>
      </c>
      <c r="H15">
        <v>0.06</v>
      </c>
      <c r="I15">
        <v>1.7493</v>
      </c>
      <c r="J15">
        <v>213566.01</v>
      </c>
      <c r="K15">
        <v>73855.914</v>
      </c>
      <c r="L15" t="s">
        <v>103</v>
      </c>
      <c r="M15" t="s">
        <v>104</v>
      </c>
      <c r="N15" s="3">
        <v>45565</v>
      </c>
      <c r="O15">
        <v>14</v>
      </c>
      <c r="P15">
        <v>73</v>
      </c>
      <c r="Q15">
        <v>-59</v>
      </c>
      <c r="R15" t="s">
        <v>105</v>
      </c>
    </row>
    <row r="16" spans="1:19">
      <c r="A16" t="s">
        <v>70</v>
      </c>
      <c r="B16" s="3">
        <v>45481</v>
      </c>
      <c r="C16">
        <v>3.48</v>
      </c>
      <c r="D16">
        <v>3.49</v>
      </c>
      <c r="E16">
        <v>3.38</v>
      </c>
      <c r="F16">
        <v>3.38</v>
      </c>
      <c r="G16">
        <v>3.49</v>
      </c>
      <c r="H16">
        <v>-0.11</v>
      </c>
      <c r="I16">
        <v>-3.1519</v>
      </c>
      <c r="J16">
        <v>232169</v>
      </c>
      <c r="K16">
        <v>79074.529</v>
      </c>
      <c r="L16" t="s">
        <v>103</v>
      </c>
      <c r="M16" t="s">
        <v>104</v>
      </c>
      <c r="N16" s="3">
        <v>45565</v>
      </c>
      <c r="O16">
        <v>15</v>
      </c>
      <c r="P16">
        <v>73</v>
      </c>
      <c r="Q16">
        <v>-58</v>
      </c>
      <c r="R16" t="s">
        <v>105</v>
      </c>
    </row>
    <row r="17" spans="1:18">
      <c r="A17" t="s">
        <v>70</v>
      </c>
      <c r="B17" s="3">
        <v>45482</v>
      </c>
      <c r="C17">
        <v>3.46</v>
      </c>
      <c r="D17">
        <v>3.6</v>
      </c>
      <c r="E17">
        <v>3.4</v>
      </c>
      <c r="F17">
        <v>3.51</v>
      </c>
      <c r="G17">
        <v>3.38</v>
      </c>
      <c r="H17">
        <v>0.13</v>
      </c>
      <c r="I17">
        <v>3.8462</v>
      </c>
      <c r="J17">
        <v>479166</v>
      </c>
      <c r="K17">
        <v>166900.121</v>
      </c>
      <c r="L17" t="s">
        <v>103</v>
      </c>
      <c r="M17" t="s">
        <v>104</v>
      </c>
      <c r="N17" s="3">
        <v>45565</v>
      </c>
      <c r="O17">
        <v>16</v>
      </c>
      <c r="P17">
        <v>73</v>
      </c>
      <c r="Q17">
        <v>-57</v>
      </c>
      <c r="R17" t="s">
        <v>105</v>
      </c>
    </row>
    <row r="18" spans="1:18">
      <c r="A18" t="s">
        <v>70</v>
      </c>
      <c r="B18" s="3">
        <v>45483</v>
      </c>
      <c r="C18">
        <v>3.5</v>
      </c>
      <c r="D18">
        <v>3.5</v>
      </c>
      <c r="E18">
        <v>3.43</v>
      </c>
      <c r="F18">
        <v>3.44</v>
      </c>
      <c r="G18">
        <v>3.51</v>
      </c>
      <c r="H18">
        <v>-0.07</v>
      </c>
      <c r="I18">
        <v>-1.9943</v>
      </c>
      <c r="J18">
        <v>344348.62</v>
      </c>
      <c r="K18">
        <v>119238.094</v>
      </c>
      <c r="L18" t="s">
        <v>103</v>
      </c>
      <c r="M18" t="s">
        <v>104</v>
      </c>
      <c r="N18" s="3">
        <v>45565</v>
      </c>
      <c r="O18">
        <v>17</v>
      </c>
      <c r="P18">
        <v>73</v>
      </c>
      <c r="Q18">
        <v>-56</v>
      </c>
      <c r="R18" t="s">
        <v>105</v>
      </c>
    </row>
    <row r="19" spans="1:18">
      <c r="A19" t="s">
        <v>70</v>
      </c>
      <c r="B19" s="3">
        <v>45484</v>
      </c>
      <c r="C19">
        <v>3.49</v>
      </c>
      <c r="D19">
        <v>3.61</v>
      </c>
      <c r="E19">
        <v>3.48</v>
      </c>
      <c r="F19">
        <v>3.6</v>
      </c>
      <c r="G19">
        <v>3.44</v>
      </c>
      <c r="H19">
        <v>0.16</v>
      </c>
      <c r="I19">
        <v>4.6512</v>
      </c>
      <c r="J19">
        <v>567047.69</v>
      </c>
      <c r="K19">
        <v>201788.365</v>
      </c>
      <c r="L19" t="s">
        <v>103</v>
      </c>
      <c r="M19" t="s">
        <v>104</v>
      </c>
      <c r="N19" s="3">
        <v>45565</v>
      </c>
      <c r="O19">
        <v>18</v>
      </c>
      <c r="P19">
        <v>73</v>
      </c>
      <c r="Q19">
        <v>-55</v>
      </c>
      <c r="R19" t="s">
        <v>105</v>
      </c>
    </row>
    <row r="20" spans="1:18">
      <c r="A20" t="s">
        <v>70</v>
      </c>
      <c r="B20" s="3">
        <v>45485</v>
      </c>
      <c r="C20">
        <v>3.59</v>
      </c>
      <c r="D20">
        <v>3.61</v>
      </c>
      <c r="E20">
        <v>3.53</v>
      </c>
      <c r="F20">
        <v>3.56</v>
      </c>
      <c r="G20">
        <v>3.6</v>
      </c>
      <c r="H20">
        <v>-0.04</v>
      </c>
      <c r="I20">
        <v>-1.1111</v>
      </c>
      <c r="J20">
        <v>321754</v>
      </c>
      <c r="K20">
        <v>114460.037</v>
      </c>
      <c r="L20" t="s">
        <v>103</v>
      </c>
      <c r="M20" t="s">
        <v>104</v>
      </c>
      <c r="N20" s="3">
        <v>45565</v>
      </c>
      <c r="O20">
        <v>19</v>
      </c>
      <c r="P20">
        <v>73</v>
      </c>
      <c r="Q20">
        <v>-54</v>
      </c>
      <c r="R20" t="s">
        <v>105</v>
      </c>
    </row>
    <row r="21" spans="1:18">
      <c r="A21" t="s">
        <v>70</v>
      </c>
      <c r="B21" s="3">
        <v>45488</v>
      </c>
      <c r="C21">
        <v>3.54</v>
      </c>
      <c r="D21">
        <v>3.56</v>
      </c>
      <c r="E21">
        <v>3.51</v>
      </c>
      <c r="F21">
        <v>3.53</v>
      </c>
      <c r="G21">
        <v>3.56</v>
      </c>
      <c r="H21">
        <v>-0.03</v>
      </c>
      <c r="I21">
        <v>-0.8427</v>
      </c>
      <c r="J21">
        <v>237577.78</v>
      </c>
      <c r="K21">
        <v>83901.999</v>
      </c>
      <c r="L21" t="s">
        <v>103</v>
      </c>
      <c r="M21" t="s">
        <v>104</v>
      </c>
      <c r="N21" s="3">
        <v>45565</v>
      </c>
      <c r="O21">
        <v>20</v>
      </c>
      <c r="P21">
        <v>73</v>
      </c>
      <c r="Q21">
        <v>-53</v>
      </c>
      <c r="R21" t="s">
        <v>105</v>
      </c>
    </row>
    <row r="22" spans="1:18">
      <c r="A22" t="s">
        <v>70</v>
      </c>
      <c r="B22" s="3">
        <v>45489</v>
      </c>
      <c r="C22">
        <v>3.55</v>
      </c>
      <c r="D22">
        <v>3.56</v>
      </c>
      <c r="E22">
        <v>3.48</v>
      </c>
      <c r="F22">
        <v>3.51</v>
      </c>
      <c r="G22">
        <v>3.53</v>
      </c>
      <c r="H22">
        <v>-0.02</v>
      </c>
      <c r="I22">
        <v>-0.5666</v>
      </c>
      <c r="J22">
        <v>249307</v>
      </c>
      <c r="K22">
        <v>87505.781</v>
      </c>
      <c r="L22" t="s">
        <v>103</v>
      </c>
      <c r="M22" t="s">
        <v>104</v>
      </c>
      <c r="N22" s="3">
        <v>45565</v>
      </c>
      <c r="O22">
        <v>21</v>
      </c>
      <c r="P22">
        <v>73</v>
      </c>
      <c r="Q22">
        <v>-52</v>
      </c>
      <c r="R22" t="s">
        <v>105</v>
      </c>
    </row>
    <row r="23" spans="1:18">
      <c r="A23" t="s">
        <v>70</v>
      </c>
      <c r="B23" s="3">
        <v>45490</v>
      </c>
      <c r="C23">
        <v>3.51</v>
      </c>
      <c r="D23">
        <v>3.51</v>
      </c>
      <c r="E23">
        <v>3.44</v>
      </c>
      <c r="F23">
        <v>3.45</v>
      </c>
      <c r="G23">
        <v>3.51</v>
      </c>
      <c r="H23">
        <v>-0.06</v>
      </c>
      <c r="I23">
        <v>-1.7094</v>
      </c>
      <c r="J23">
        <v>207661.77</v>
      </c>
      <c r="K23">
        <v>72001.569</v>
      </c>
      <c r="L23" t="s">
        <v>103</v>
      </c>
      <c r="M23" t="s">
        <v>104</v>
      </c>
      <c r="N23" s="3">
        <v>45565</v>
      </c>
      <c r="O23">
        <v>22</v>
      </c>
      <c r="P23">
        <v>73</v>
      </c>
      <c r="Q23">
        <v>-51</v>
      </c>
      <c r="R23" t="s">
        <v>105</v>
      </c>
    </row>
    <row r="24" spans="1:18">
      <c r="A24" t="s">
        <v>70</v>
      </c>
      <c r="B24" s="3">
        <v>45491</v>
      </c>
      <c r="C24">
        <v>3.42</v>
      </c>
      <c r="D24">
        <v>3.46</v>
      </c>
      <c r="E24">
        <v>3.37</v>
      </c>
      <c r="F24">
        <v>3.44</v>
      </c>
      <c r="G24">
        <v>3.45</v>
      </c>
      <c r="H24">
        <v>-0.01</v>
      </c>
      <c r="I24">
        <v>-0.2899</v>
      </c>
      <c r="J24">
        <v>240942.1</v>
      </c>
      <c r="K24">
        <v>82115.497</v>
      </c>
      <c r="L24" t="s">
        <v>103</v>
      </c>
      <c r="M24" t="s">
        <v>104</v>
      </c>
      <c r="N24" s="3">
        <v>45565</v>
      </c>
      <c r="O24">
        <v>23</v>
      </c>
      <c r="P24">
        <v>73</v>
      </c>
      <c r="Q24">
        <v>-50</v>
      </c>
      <c r="R24" t="s">
        <v>105</v>
      </c>
    </row>
    <row r="25" spans="1:18">
      <c r="A25" t="s">
        <v>70</v>
      </c>
      <c r="B25" s="3">
        <v>45492</v>
      </c>
      <c r="C25">
        <v>3.42</v>
      </c>
      <c r="D25">
        <v>3.49</v>
      </c>
      <c r="E25">
        <v>3.39</v>
      </c>
      <c r="F25">
        <v>3.45</v>
      </c>
      <c r="G25">
        <v>3.44</v>
      </c>
      <c r="H25">
        <v>0.01</v>
      </c>
      <c r="I25">
        <v>0.2907</v>
      </c>
      <c r="J25">
        <v>244837.02</v>
      </c>
      <c r="K25">
        <v>84108.057</v>
      </c>
      <c r="L25" t="s">
        <v>103</v>
      </c>
      <c r="M25" t="s">
        <v>104</v>
      </c>
      <c r="N25" s="3">
        <v>45565</v>
      </c>
      <c r="O25">
        <v>24</v>
      </c>
      <c r="P25">
        <v>73</v>
      </c>
      <c r="Q25">
        <v>-49</v>
      </c>
      <c r="R25" t="s">
        <v>105</v>
      </c>
    </row>
    <row r="26" spans="1:18">
      <c r="A26" t="s">
        <v>70</v>
      </c>
      <c r="B26" s="3">
        <v>45495</v>
      </c>
      <c r="C26">
        <v>3.44</v>
      </c>
      <c r="D26">
        <v>3.45</v>
      </c>
      <c r="E26">
        <v>3.38</v>
      </c>
      <c r="F26">
        <v>3.4</v>
      </c>
      <c r="G26">
        <v>3.45</v>
      </c>
      <c r="H26">
        <v>-0.05</v>
      </c>
      <c r="I26">
        <v>-1.4493</v>
      </c>
      <c r="J26">
        <v>238351.76</v>
      </c>
      <c r="K26">
        <v>81179.161</v>
      </c>
      <c r="L26" t="s">
        <v>103</v>
      </c>
      <c r="M26" t="s">
        <v>104</v>
      </c>
      <c r="N26" s="3">
        <v>45565</v>
      </c>
      <c r="O26">
        <v>25</v>
      </c>
      <c r="P26">
        <v>73</v>
      </c>
      <c r="Q26">
        <v>-48</v>
      </c>
      <c r="R26" t="s">
        <v>105</v>
      </c>
    </row>
    <row r="27" spans="1:18">
      <c r="A27" t="s">
        <v>70</v>
      </c>
      <c r="B27" s="3">
        <v>45496</v>
      </c>
      <c r="C27">
        <v>3.4</v>
      </c>
      <c r="D27">
        <v>3.41</v>
      </c>
      <c r="E27">
        <v>3.27</v>
      </c>
      <c r="F27">
        <v>3.28</v>
      </c>
      <c r="G27">
        <v>3.4</v>
      </c>
      <c r="H27">
        <v>-0.12</v>
      </c>
      <c r="I27">
        <v>-3.5294</v>
      </c>
      <c r="J27">
        <v>377581.76</v>
      </c>
      <c r="K27">
        <v>125727.347</v>
      </c>
      <c r="L27" t="s">
        <v>103</v>
      </c>
      <c r="M27" t="s">
        <v>104</v>
      </c>
      <c r="N27" s="3">
        <v>45565</v>
      </c>
      <c r="O27">
        <v>26</v>
      </c>
      <c r="P27">
        <v>73</v>
      </c>
      <c r="Q27">
        <v>-47</v>
      </c>
      <c r="R27" t="s">
        <v>105</v>
      </c>
    </row>
    <row r="28" spans="1:18">
      <c r="A28" t="s">
        <v>70</v>
      </c>
      <c r="B28" s="3">
        <v>45497</v>
      </c>
      <c r="C28">
        <v>3.29</v>
      </c>
      <c r="D28">
        <v>3.31</v>
      </c>
      <c r="E28">
        <v>3.13</v>
      </c>
      <c r="F28">
        <v>3.15</v>
      </c>
      <c r="G28">
        <v>3.28</v>
      </c>
      <c r="H28">
        <v>-0.13</v>
      </c>
      <c r="I28">
        <v>-3.9634</v>
      </c>
      <c r="J28">
        <v>521871.54</v>
      </c>
      <c r="K28">
        <v>167096.163</v>
      </c>
      <c r="L28" t="s">
        <v>103</v>
      </c>
      <c r="M28" t="s">
        <v>104</v>
      </c>
      <c r="N28" s="3">
        <v>45565</v>
      </c>
      <c r="O28">
        <v>27</v>
      </c>
      <c r="P28">
        <v>73</v>
      </c>
      <c r="Q28">
        <v>-46</v>
      </c>
      <c r="R28" t="s">
        <v>105</v>
      </c>
    </row>
    <row r="29" spans="1:18">
      <c r="A29" t="s">
        <v>70</v>
      </c>
      <c r="B29" s="3">
        <v>45498</v>
      </c>
      <c r="C29">
        <v>3.13</v>
      </c>
      <c r="D29">
        <v>3.19</v>
      </c>
      <c r="E29">
        <v>3.07</v>
      </c>
      <c r="F29">
        <v>3.16</v>
      </c>
      <c r="G29">
        <v>3.15</v>
      </c>
      <c r="H29">
        <v>0.01</v>
      </c>
      <c r="I29">
        <v>0.3175</v>
      </c>
      <c r="J29">
        <v>404858.01</v>
      </c>
      <c r="K29">
        <v>126864.357</v>
      </c>
      <c r="L29" t="s">
        <v>103</v>
      </c>
      <c r="M29" t="s">
        <v>104</v>
      </c>
      <c r="N29" s="3">
        <v>45565</v>
      </c>
      <c r="O29">
        <v>28</v>
      </c>
      <c r="P29">
        <v>73</v>
      </c>
      <c r="Q29">
        <v>-45</v>
      </c>
      <c r="R29" t="s">
        <v>105</v>
      </c>
    </row>
    <row r="30" spans="1:18">
      <c r="A30" t="s">
        <v>70</v>
      </c>
      <c r="B30" s="3">
        <v>45499</v>
      </c>
      <c r="C30">
        <v>3.17</v>
      </c>
      <c r="D30">
        <v>3.23</v>
      </c>
      <c r="E30">
        <v>3.14</v>
      </c>
      <c r="F30">
        <v>3.2</v>
      </c>
      <c r="G30">
        <v>3.16</v>
      </c>
      <c r="H30">
        <v>0.04</v>
      </c>
      <c r="I30">
        <v>1.2658</v>
      </c>
      <c r="J30">
        <v>217965</v>
      </c>
      <c r="K30">
        <v>69576.24</v>
      </c>
      <c r="L30" t="s">
        <v>103</v>
      </c>
      <c r="M30" t="s">
        <v>104</v>
      </c>
      <c r="N30" s="3">
        <v>45565</v>
      </c>
      <c r="O30">
        <v>29</v>
      </c>
      <c r="P30">
        <v>73</v>
      </c>
      <c r="Q30">
        <v>-44</v>
      </c>
      <c r="R30" t="s">
        <v>105</v>
      </c>
    </row>
    <row r="31" spans="1:18">
      <c r="A31" t="s">
        <v>70</v>
      </c>
      <c r="B31" s="3">
        <v>45502</v>
      </c>
      <c r="C31">
        <v>3.2</v>
      </c>
      <c r="D31">
        <v>3.2</v>
      </c>
      <c r="E31">
        <v>3.15</v>
      </c>
      <c r="F31">
        <v>3.18</v>
      </c>
      <c r="G31">
        <v>3.2</v>
      </c>
      <c r="H31">
        <v>-0.02</v>
      </c>
      <c r="I31">
        <v>-0.625</v>
      </c>
      <c r="J31">
        <v>183135.01</v>
      </c>
      <c r="K31">
        <v>58162.546</v>
      </c>
      <c r="L31" t="s">
        <v>103</v>
      </c>
      <c r="M31" t="s">
        <v>104</v>
      </c>
      <c r="N31" s="3">
        <v>45565</v>
      </c>
      <c r="O31">
        <v>30</v>
      </c>
      <c r="P31">
        <v>73</v>
      </c>
      <c r="Q31">
        <v>-43</v>
      </c>
      <c r="R31" t="s">
        <v>105</v>
      </c>
    </row>
    <row r="32" spans="1:18">
      <c r="A32" t="s">
        <v>70</v>
      </c>
      <c r="B32" s="3">
        <v>45503</v>
      </c>
      <c r="C32">
        <v>3.17</v>
      </c>
      <c r="D32">
        <v>3.23</v>
      </c>
      <c r="E32">
        <v>3.13</v>
      </c>
      <c r="F32">
        <v>3.19</v>
      </c>
      <c r="G32">
        <v>3.18</v>
      </c>
      <c r="H32">
        <v>0.01</v>
      </c>
      <c r="I32">
        <v>0.3145</v>
      </c>
      <c r="J32">
        <v>199231.69</v>
      </c>
      <c r="K32">
        <v>63553.241</v>
      </c>
      <c r="L32" t="s">
        <v>103</v>
      </c>
      <c r="M32" t="s">
        <v>104</v>
      </c>
      <c r="N32" s="3">
        <v>45565</v>
      </c>
      <c r="O32">
        <v>31</v>
      </c>
      <c r="P32">
        <v>73</v>
      </c>
      <c r="Q32">
        <v>-42</v>
      </c>
      <c r="R32" t="s">
        <v>105</v>
      </c>
    </row>
    <row r="33" spans="1:18">
      <c r="A33" t="s">
        <v>70</v>
      </c>
      <c r="B33" s="3">
        <v>45504</v>
      </c>
      <c r="C33">
        <v>3.22</v>
      </c>
      <c r="D33">
        <v>3.43</v>
      </c>
      <c r="E33">
        <v>3.21</v>
      </c>
      <c r="F33">
        <v>3.41</v>
      </c>
      <c r="G33">
        <v>3.19</v>
      </c>
      <c r="H33">
        <v>0.22</v>
      </c>
      <c r="I33">
        <v>6.8966</v>
      </c>
      <c r="J33">
        <v>619582.67</v>
      </c>
      <c r="K33">
        <v>207404.591</v>
      </c>
      <c r="L33" t="s">
        <v>103</v>
      </c>
      <c r="M33" t="s">
        <v>104</v>
      </c>
      <c r="N33" s="3">
        <v>45565</v>
      </c>
      <c r="O33">
        <v>32</v>
      </c>
      <c r="P33">
        <v>73</v>
      </c>
      <c r="Q33">
        <v>-41</v>
      </c>
      <c r="R33" t="s">
        <v>105</v>
      </c>
    </row>
    <row r="34" spans="1:18">
      <c r="A34" t="s">
        <v>70</v>
      </c>
      <c r="B34" s="3">
        <v>45505</v>
      </c>
      <c r="C34">
        <v>3.41</v>
      </c>
      <c r="D34">
        <v>3.44</v>
      </c>
      <c r="E34">
        <v>3.38</v>
      </c>
      <c r="F34">
        <v>3.43</v>
      </c>
      <c r="G34">
        <v>3.41</v>
      </c>
      <c r="H34">
        <v>0.02</v>
      </c>
      <c r="I34">
        <v>0.5865</v>
      </c>
      <c r="J34">
        <v>357914.68</v>
      </c>
      <c r="K34">
        <v>122319.366</v>
      </c>
      <c r="L34" t="s">
        <v>103</v>
      </c>
      <c r="M34" t="s">
        <v>104</v>
      </c>
      <c r="N34" s="3">
        <v>45565</v>
      </c>
      <c r="O34">
        <v>33</v>
      </c>
      <c r="P34">
        <v>73</v>
      </c>
      <c r="Q34">
        <v>-40</v>
      </c>
      <c r="R34" t="s">
        <v>105</v>
      </c>
    </row>
    <row r="35" spans="1:18">
      <c r="A35" t="s">
        <v>70</v>
      </c>
      <c r="B35" s="3">
        <v>45506</v>
      </c>
      <c r="C35">
        <v>3.4</v>
      </c>
      <c r="D35">
        <v>3.45</v>
      </c>
      <c r="E35">
        <v>3.33</v>
      </c>
      <c r="F35">
        <v>3.34</v>
      </c>
      <c r="G35">
        <v>3.43</v>
      </c>
      <c r="H35">
        <v>-0.09</v>
      </c>
      <c r="I35">
        <v>-2.6239</v>
      </c>
      <c r="J35">
        <v>306518.01</v>
      </c>
      <c r="K35">
        <v>103832.172</v>
      </c>
      <c r="L35" t="s">
        <v>103</v>
      </c>
      <c r="M35" t="s">
        <v>104</v>
      </c>
      <c r="N35" s="3">
        <v>45565</v>
      </c>
      <c r="O35">
        <v>34</v>
      </c>
      <c r="P35">
        <v>73</v>
      </c>
      <c r="Q35">
        <v>-39</v>
      </c>
      <c r="R35" t="s">
        <v>105</v>
      </c>
    </row>
    <row r="36" spans="1:18">
      <c r="A36" t="s">
        <v>70</v>
      </c>
      <c r="B36" s="3">
        <v>45509</v>
      </c>
      <c r="C36">
        <v>3.34</v>
      </c>
      <c r="D36">
        <v>3.42</v>
      </c>
      <c r="E36">
        <v>3.28</v>
      </c>
      <c r="F36">
        <v>3.28</v>
      </c>
      <c r="G36">
        <v>3.34</v>
      </c>
      <c r="H36">
        <v>-0.06</v>
      </c>
      <c r="I36">
        <v>-1.7964</v>
      </c>
      <c r="J36">
        <v>321414.5</v>
      </c>
      <c r="K36">
        <v>107655.657</v>
      </c>
      <c r="L36" t="s">
        <v>103</v>
      </c>
      <c r="M36" t="s">
        <v>104</v>
      </c>
      <c r="N36" s="3">
        <v>45565</v>
      </c>
      <c r="O36">
        <v>35</v>
      </c>
      <c r="P36">
        <v>73</v>
      </c>
      <c r="Q36">
        <v>-38</v>
      </c>
      <c r="R36" t="s">
        <v>105</v>
      </c>
    </row>
    <row r="37" spans="1:18">
      <c r="A37" t="s">
        <v>70</v>
      </c>
      <c r="B37" s="3">
        <v>45510</v>
      </c>
      <c r="C37">
        <v>3.32</v>
      </c>
      <c r="D37">
        <v>3.38</v>
      </c>
      <c r="E37">
        <v>3.31</v>
      </c>
      <c r="F37">
        <v>3.37</v>
      </c>
      <c r="G37">
        <v>3.28</v>
      </c>
      <c r="H37">
        <v>0.09</v>
      </c>
      <c r="I37">
        <v>2.7439</v>
      </c>
      <c r="J37">
        <v>265961.01</v>
      </c>
      <c r="K37">
        <v>88947.207</v>
      </c>
      <c r="L37" t="s">
        <v>103</v>
      </c>
      <c r="M37" t="s">
        <v>104</v>
      </c>
      <c r="N37" s="3">
        <v>45565</v>
      </c>
      <c r="O37">
        <v>36</v>
      </c>
      <c r="P37">
        <v>73</v>
      </c>
      <c r="Q37">
        <v>-37</v>
      </c>
      <c r="R37" t="s">
        <v>105</v>
      </c>
    </row>
    <row r="38" spans="1:18">
      <c r="A38" t="s">
        <v>70</v>
      </c>
      <c r="B38" s="3">
        <v>45511</v>
      </c>
      <c r="C38">
        <v>3.38</v>
      </c>
      <c r="D38">
        <v>3.38</v>
      </c>
      <c r="E38">
        <v>3.34</v>
      </c>
      <c r="F38">
        <v>3.35</v>
      </c>
      <c r="G38">
        <v>3.37</v>
      </c>
      <c r="H38">
        <v>-0.02</v>
      </c>
      <c r="I38">
        <v>-0.5935</v>
      </c>
      <c r="J38">
        <v>176494</v>
      </c>
      <c r="K38">
        <v>59274.365</v>
      </c>
      <c r="L38" t="s">
        <v>103</v>
      </c>
      <c r="M38" t="s">
        <v>104</v>
      </c>
      <c r="N38" s="3">
        <v>45565</v>
      </c>
      <c r="O38">
        <v>37</v>
      </c>
      <c r="P38">
        <v>73</v>
      </c>
      <c r="Q38">
        <v>-36</v>
      </c>
      <c r="R38" t="s">
        <v>105</v>
      </c>
    </row>
    <row r="39" spans="1:18">
      <c r="A39" t="s">
        <v>70</v>
      </c>
      <c r="B39" s="3">
        <v>45512</v>
      </c>
      <c r="C39">
        <v>3.34</v>
      </c>
      <c r="D39">
        <v>3.4</v>
      </c>
      <c r="E39">
        <v>3.3</v>
      </c>
      <c r="F39">
        <v>3.38</v>
      </c>
      <c r="G39">
        <v>3.35</v>
      </c>
      <c r="H39">
        <v>0.03</v>
      </c>
      <c r="I39">
        <v>0.8955</v>
      </c>
      <c r="J39">
        <v>206248.02</v>
      </c>
      <c r="K39">
        <v>69336.045</v>
      </c>
      <c r="L39" t="s">
        <v>103</v>
      </c>
      <c r="M39" t="s">
        <v>104</v>
      </c>
      <c r="N39" s="3">
        <v>45565</v>
      </c>
      <c r="O39">
        <v>38</v>
      </c>
      <c r="P39">
        <v>73</v>
      </c>
      <c r="Q39">
        <v>-35</v>
      </c>
      <c r="R39" t="s">
        <v>105</v>
      </c>
    </row>
    <row r="40" spans="1:18">
      <c r="A40" t="s">
        <v>70</v>
      </c>
      <c r="B40" s="3">
        <v>45513</v>
      </c>
      <c r="C40">
        <v>3.39</v>
      </c>
      <c r="D40">
        <v>3.4</v>
      </c>
      <c r="E40">
        <v>3.32</v>
      </c>
      <c r="F40">
        <v>3.32</v>
      </c>
      <c r="G40">
        <v>3.38</v>
      </c>
      <c r="H40">
        <v>-0.06</v>
      </c>
      <c r="I40">
        <v>-1.7751</v>
      </c>
      <c r="J40">
        <v>178368</v>
      </c>
      <c r="K40">
        <v>59675.978</v>
      </c>
      <c r="L40" t="s">
        <v>103</v>
      </c>
      <c r="M40" t="s">
        <v>104</v>
      </c>
      <c r="N40" s="3">
        <v>45565</v>
      </c>
      <c r="O40">
        <v>39</v>
      </c>
      <c r="P40">
        <v>73</v>
      </c>
      <c r="Q40">
        <v>-34</v>
      </c>
      <c r="R40" t="s">
        <v>105</v>
      </c>
    </row>
    <row r="41" spans="1:18">
      <c r="A41" t="s">
        <v>70</v>
      </c>
      <c r="B41" s="3">
        <v>45516</v>
      </c>
      <c r="C41">
        <v>3.32</v>
      </c>
      <c r="D41">
        <v>3.32</v>
      </c>
      <c r="E41">
        <v>3.24</v>
      </c>
      <c r="F41">
        <v>3.26</v>
      </c>
      <c r="G41">
        <v>3.32</v>
      </c>
      <c r="H41">
        <v>-0.06</v>
      </c>
      <c r="I41">
        <v>-1.8072</v>
      </c>
      <c r="J41">
        <v>176123</v>
      </c>
      <c r="K41">
        <v>57642.452</v>
      </c>
      <c r="L41" t="s">
        <v>103</v>
      </c>
      <c r="M41" t="s">
        <v>104</v>
      </c>
      <c r="N41" s="3">
        <v>45565</v>
      </c>
      <c r="O41">
        <v>40</v>
      </c>
      <c r="P41">
        <v>73</v>
      </c>
      <c r="Q41">
        <v>-33</v>
      </c>
      <c r="R41" t="s">
        <v>105</v>
      </c>
    </row>
    <row r="42" spans="1:18">
      <c r="A42" t="s">
        <v>70</v>
      </c>
      <c r="B42" s="3">
        <v>45517</v>
      </c>
      <c r="C42">
        <v>3.27</v>
      </c>
      <c r="D42">
        <v>3.28</v>
      </c>
      <c r="E42">
        <v>3.21</v>
      </c>
      <c r="F42">
        <v>3.26</v>
      </c>
      <c r="G42">
        <v>3.26</v>
      </c>
      <c r="H42">
        <v>0</v>
      </c>
      <c r="I42">
        <v>0</v>
      </c>
      <c r="J42">
        <v>151786</v>
      </c>
      <c r="K42">
        <v>49213.76</v>
      </c>
      <c r="L42" t="s">
        <v>103</v>
      </c>
      <c r="M42" t="s">
        <v>104</v>
      </c>
      <c r="N42" s="3">
        <v>45565</v>
      </c>
      <c r="O42">
        <v>41</v>
      </c>
      <c r="P42">
        <v>73</v>
      </c>
      <c r="Q42">
        <v>-32</v>
      </c>
      <c r="R42" t="s">
        <v>105</v>
      </c>
    </row>
    <row r="43" spans="1:18">
      <c r="A43" t="s">
        <v>70</v>
      </c>
      <c r="B43" s="3">
        <v>45518</v>
      </c>
      <c r="C43">
        <v>3.26</v>
      </c>
      <c r="D43">
        <v>3.27</v>
      </c>
      <c r="E43">
        <v>3.22</v>
      </c>
      <c r="F43">
        <v>3.22</v>
      </c>
      <c r="G43">
        <v>3.26</v>
      </c>
      <c r="H43">
        <v>-0.04</v>
      </c>
      <c r="I43">
        <v>-1.227</v>
      </c>
      <c r="J43">
        <v>165391.67</v>
      </c>
      <c r="K43">
        <v>53498.295</v>
      </c>
      <c r="L43" t="s">
        <v>103</v>
      </c>
      <c r="M43" t="s">
        <v>104</v>
      </c>
      <c r="N43" s="3">
        <v>45565</v>
      </c>
      <c r="O43">
        <v>42</v>
      </c>
      <c r="P43">
        <v>73</v>
      </c>
      <c r="Q43">
        <v>-31</v>
      </c>
      <c r="R43" t="s">
        <v>105</v>
      </c>
    </row>
    <row r="44" spans="1:18">
      <c r="A44" t="s">
        <v>70</v>
      </c>
      <c r="B44" s="3">
        <v>45519</v>
      </c>
      <c r="C44">
        <v>3.22</v>
      </c>
      <c r="D44">
        <v>3.31</v>
      </c>
      <c r="E44">
        <v>3.2</v>
      </c>
      <c r="F44">
        <v>3.26</v>
      </c>
      <c r="G44">
        <v>3.22</v>
      </c>
      <c r="H44">
        <v>0.04</v>
      </c>
      <c r="I44">
        <v>1.2422</v>
      </c>
      <c r="J44">
        <v>228254</v>
      </c>
      <c r="K44">
        <v>74404.1</v>
      </c>
      <c r="L44" t="s">
        <v>103</v>
      </c>
      <c r="M44" t="s">
        <v>104</v>
      </c>
      <c r="N44" s="3">
        <v>45565</v>
      </c>
      <c r="O44">
        <v>43</v>
      </c>
      <c r="P44">
        <v>73</v>
      </c>
      <c r="Q44">
        <v>-30</v>
      </c>
      <c r="R44" t="s">
        <v>105</v>
      </c>
    </row>
    <row r="45" spans="1:18">
      <c r="A45" t="s">
        <v>70</v>
      </c>
      <c r="B45" s="3">
        <v>45520</v>
      </c>
      <c r="C45">
        <v>3.25</v>
      </c>
      <c r="D45">
        <v>3.27</v>
      </c>
      <c r="E45">
        <v>3.21</v>
      </c>
      <c r="F45">
        <v>3.22</v>
      </c>
      <c r="G45">
        <v>3.26</v>
      </c>
      <c r="H45">
        <v>-0.04</v>
      </c>
      <c r="I45">
        <v>-1.227</v>
      </c>
      <c r="J45">
        <v>175744</v>
      </c>
      <c r="K45">
        <v>56847.323</v>
      </c>
      <c r="L45" t="s">
        <v>103</v>
      </c>
      <c r="M45" t="s">
        <v>104</v>
      </c>
      <c r="N45" s="3">
        <v>45565</v>
      </c>
      <c r="O45">
        <v>44</v>
      </c>
      <c r="P45">
        <v>73</v>
      </c>
      <c r="Q45">
        <v>-29</v>
      </c>
      <c r="R45" t="s">
        <v>105</v>
      </c>
    </row>
    <row r="46" spans="1:18">
      <c r="A46" t="s">
        <v>70</v>
      </c>
      <c r="B46" s="3">
        <v>45523</v>
      </c>
      <c r="C46">
        <v>3.22</v>
      </c>
      <c r="D46">
        <v>3.24</v>
      </c>
      <c r="E46">
        <v>3.19</v>
      </c>
      <c r="F46">
        <v>3.19</v>
      </c>
      <c r="G46">
        <v>3.22</v>
      </c>
      <c r="H46">
        <v>-0.03</v>
      </c>
      <c r="I46">
        <v>-0.9317</v>
      </c>
      <c r="J46">
        <v>196793</v>
      </c>
      <c r="K46">
        <v>63257.732</v>
      </c>
      <c r="L46" t="s">
        <v>103</v>
      </c>
      <c r="M46" t="s">
        <v>104</v>
      </c>
      <c r="N46" s="3">
        <v>45565</v>
      </c>
      <c r="O46">
        <v>45</v>
      </c>
      <c r="P46">
        <v>73</v>
      </c>
      <c r="Q46">
        <v>-28</v>
      </c>
      <c r="R46" t="s">
        <v>105</v>
      </c>
    </row>
    <row r="47" spans="1:18">
      <c r="A47" t="s">
        <v>70</v>
      </c>
      <c r="B47" s="3">
        <v>45524</v>
      </c>
      <c r="C47">
        <v>3.19</v>
      </c>
      <c r="D47">
        <v>3.2</v>
      </c>
      <c r="E47">
        <v>3.1</v>
      </c>
      <c r="F47">
        <v>3.13</v>
      </c>
      <c r="G47">
        <v>3.19</v>
      </c>
      <c r="H47">
        <v>-0.06</v>
      </c>
      <c r="I47">
        <v>-1.8809</v>
      </c>
      <c r="J47">
        <v>240084.01</v>
      </c>
      <c r="K47">
        <v>75346.88</v>
      </c>
      <c r="L47" t="s">
        <v>103</v>
      </c>
      <c r="M47" t="s">
        <v>104</v>
      </c>
      <c r="N47" s="3">
        <v>45565</v>
      </c>
      <c r="O47">
        <v>46</v>
      </c>
      <c r="P47">
        <v>73</v>
      </c>
      <c r="Q47">
        <v>-27</v>
      </c>
      <c r="R47" t="s">
        <v>105</v>
      </c>
    </row>
    <row r="48" spans="1:18">
      <c r="A48" t="s">
        <v>70</v>
      </c>
      <c r="B48" s="3">
        <v>45525</v>
      </c>
      <c r="C48">
        <v>3.13</v>
      </c>
      <c r="D48">
        <v>3.17</v>
      </c>
      <c r="E48">
        <v>3.11</v>
      </c>
      <c r="F48">
        <v>3.13</v>
      </c>
      <c r="G48">
        <v>3.13</v>
      </c>
      <c r="H48">
        <v>0</v>
      </c>
      <c r="I48">
        <v>0</v>
      </c>
      <c r="J48">
        <v>140124</v>
      </c>
      <c r="K48">
        <v>43966.044</v>
      </c>
      <c r="L48" t="s">
        <v>103</v>
      </c>
      <c r="M48" t="s">
        <v>104</v>
      </c>
      <c r="N48" s="3">
        <v>45565</v>
      </c>
      <c r="O48">
        <v>47</v>
      </c>
      <c r="P48">
        <v>73</v>
      </c>
      <c r="Q48">
        <v>-26</v>
      </c>
      <c r="R48" t="s">
        <v>105</v>
      </c>
    </row>
    <row r="49" spans="1:18">
      <c r="A49" t="s">
        <v>70</v>
      </c>
      <c r="B49" s="3">
        <v>45526</v>
      </c>
      <c r="C49">
        <v>3.13</v>
      </c>
      <c r="D49">
        <v>3.15</v>
      </c>
      <c r="E49">
        <v>3.04</v>
      </c>
      <c r="F49">
        <v>3.04</v>
      </c>
      <c r="G49">
        <v>3.13</v>
      </c>
      <c r="H49">
        <v>-0.09</v>
      </c>
      <c r="I49">
        <v>-2.8754</v>
      </c>
      <c r="J49">
        <v>223748</v>
      </c>
      <c r="K49">
        <v>68831.923</v>
      </c>
      <c r="L49" t="s">
        <v>103</v>
      </c>
      <c r="M49" t="s">
        <v>104</v>
      </c>
      <c r="N49" s="3">
        <v>45565</v>
      </c>
      <c r="O49">
        <v>48</v>
      </c>
      <c r="P49">
        <v>73</v>
      </c>
      <c r="Q49">
        <v>-25</v>
      </c>
      <c r="R49" t="s">
        <v>105</v>
      </c>
    </row>
    <row r="50" spans="1:18">
      <c r="A50" t="s">
        <v>70</v>
      </c>
      <c r="B50" s="3">
        <v>45527</v>
      </c>
      <c r="C50">
        <v>3.05</v>
      </c>
      <c r="D50">
        <v>3.09</v>
      </c>
      <c r="E50">
        <v>3.03</v>
      </c>
      <c r="F50">
        <v>3.06</v>
      </c>
      <c r="G50">
        <v>3.04</v>
      </c>
      <c r="H50">
        <v>0.02</v>
      </c>
      <c r="I50">
        <v>0.6579</v>
      </c>
      <c r="J50">
        <v>144480</v>
      </c>
      <c r="K50">
        <v>44244.403</v>
      </c>
      <c r="L50" t="s">
        <v>103</v>
      </c>
      <c r="M50" t="s">
        <v>104</v>
      </c>
      <c r="N50" s="3">
        <v>45565</v>
      </c>
      <c r="O50">
        <v>49</v>
      </c>
      <c r="P50">
        <v>73</v>
      </c>
      <c r="Q50">
        <v>-24</v>
      </c>
      <c r="R50" t="s">
        <v>105</v>
      </c>
    </row>
    <row r="51" spans="1:18">
      <c r="A51" t="s">
        <v>70</v>
      </c>
      <c r="B51" s="3">
        <v>45530</v>
      </c>
      <c r="C51">
        <v>3.06</v>
      </c>
      <c r="D51">
        <v>3.11</v>
      </c>
      <c r="E51">
        <v>3.04</v>
      </c>
      <c r="F51">
        <v>3.08</v>
      </c>
      <c r="G51">
        <v>3.06</v>
      </c>
      <c r="H51">
        <v>0.02</v>
      </c>
      <c r="I51">
        <v>0.6536</v>
      </c>
      <c r="J51">
        <v>159656</v>
      </c>
      <c r="K51">
        <v>49124.738</v>
      </c>
      <c r="L51" t="s">
        <v>103</v>
      </c>
      <c r="M51" t="s">
        <v>104</v>
      </c>
      <c r="N51" s="3">
        <v>45565</v>
      </c>
      <c r="O51">
        <v>50</v>
      </c>
      <c r="P51">
        <v>73</v>
      </c>
      <c r="Q51">
        <v>-23</v>
      </c>
      <c r="R51" t="s">
        <v>105</v>
      </c>
    </row>
    <row r="52" spans="1:18">
      <c r="A52" t="s">
        <v>70</v>
      </c>
      <c r="B52" s="3">
        <v>45531</v>
      </c>
      <c r="C52">
        <v>3.07</v>
      </c>
      <c r="D52">
        <v>3.08</v>
      </c>
      <c r="E52">
        <v>3.03</v>
      </c>
      <c r="F52">
        <v>3.04</v>
      </c>
      <c r="G52">
        <v>3.08</v>
      </c>
      <c r="H52">
        <v>-0.04</v>
      </c>
      <c r="I52">
        <v>-1.2987</v>
      </c>
      <c r="J52">
        <v>147928</v>
      </c>
      <c r="K52">
        <v>45073.624</v>
      </c>
      <c r="L52" t="s">
        <v>103</v>
      </c>
      <c r="M52" t="s">
        <v>104</v>
      </c>
      <c r="N52" s="3">
        <v>45565</v>
      </c>
      <c r="O52">
        <v>51</v>
      </c>
      <c r="P52">
        <v>73</v>
      </c>
      <c r="Q52">
        <v>-22</v>
      </c>
      <c r="R52" t="s">
        <v>105</v>
      </c>
    </row>
    <row r="53" spans="1:18">
      <c r="A53" t="s">
        <v>70</v>
      </c>
      <c r="B53" s="3">
        <v>45532</v>
      </c>
      <c r="C53">
        <v>3.02</v>
      </c>
      <c r="D53">
        <v>3.08</v>
      </c>
      <c r="E53">
        <v>3</v>
      </c>
      <c r="F53">
        <v>3.06</v>
      </c>
      <c r="G53">
        <v>3.04</v>
      </c>
      <c r="H53">
        <v>0.02</v>
      </c>
      <c r="I53">
        <v>0.6579</v>
      </c>
      <c r="J53">
        <v>165860.06</v>
      </c>
      <c r="K53">
        <v>50539.844</v>
      </c>
      <c r="L53" t="s">
        <v>103</v>
      </c>
      <c r="M53" t="s">
        <v>104</v>
      </c>
      <c r="N53" s="3">
        <v>45565</v>
      </c>
      <c r="O53">
        <v>52</v>
      </c>
      <c r="P53">
        <v>73</v>
      </c>
      <c r="Q53">
        <v>-21</v>
      </c>
      <c r="R53" t="s">
        <v>105</v>
      </c>
    </row>
    <row r="54" spans="1:18">
      <c r="A54" t="s">
        <v>70</v>
      </c>
      <c r="B54" s="3">
        <v>45533</v>
      </c>
      <c r="C54">
        <v>3.04</v>
      </c>
      <c r="D54">
        <v>3.17</v>
      </c>
      <c r="E54">
        <v>3.03</v>
      </c>
      <c r="F54">
        <v>3.14</v>
      </c>
      <c r="G54">
        <v>3.06</v>
      </c>
      <c r="H54">
        <v>0.08</v>
      </c>
      <c r="I54">
        <v>2.6144</v>
      </c>
      <c r="J54">
        <v>254010.95</v>
      </c>
      <c r="K54">
        <v>78852.011</v>
      </c>
      <c r="L54" t="s">
        <v>103</v>
      </c>
      <c r="M54" t="s">
        <v>104</v>
      </c>
      <c r="N54" s="3">
        <v>45565</v>
      </c>
      <c r="O54">
        <v>53</v>
      </c>
      <c r="P54">
        <v>73</v>
      </c>
      <c r="Q54">
        <v>-20</v>
      </c>
      <c r="R54" t="s">
        <v>105</v>
      </c>
    </row>
    <row r="55" spans="1:18">
      <c r="A55" t="s">
        <v>70</v>
      </c>
      <c r="B55" s="3">
        <v>45534</v>
      </c>
      <c r="C55">
        <v>3.14</v>
      </c>
      <c r="D55">
        <v>3.31</v>
      </c>
      <c r="E55">
        <v>3.13</v>
      </c>
      <c r="F55">
        <v>3.27</v>
      </c>
      <c r="G55">
        <v>3.14</v>
      </c>
      <c r="H55">
        <v>0.13</v>
      </c>
      <c r="I55">
        <v>4.1401</v>
      </c>
      <c r="J55">
        <v>401546.01</v>
      </c>
      <c r="K55">
        <v>130251.146</v>
      </c>
      <c r="L55" t="s">
        <v>103</v>
      </c>
      <c r="M55" t="s">
        <v>104</v>
      </c>
      <c r="N55" s="3">
        <v>45565</v>
      </c>
      <c r="O55">
        <v>54</v>
      </c>
      <c r="P55">
        <v>73</v>
      </c>
      <c r="Q55">
        <v>-19</v>
      </c>
      <c r="R55" t="s">
        <v>105</v>
      </c>
    </row>
    <row r="56" spans="1:18">
      <c r="A56" t="s">
        <v>70</v>
      </c>
      <c r="B56" s="3">
        <v>45537</v>
      </c>
      <c r="C56">
        <v>3.26</v>
      </c>
      <c r="D56">
        <v>3.31</v>
      </c>
      <c r="E56">
        <v>3.2</v>
      </c>
      <c r="F56">
        <v>3.21</v>
      </c>
      <c r="G56">
        <v>3.27</v>
      </c>
      <c r="H56">
        <v>-0.06</v>
      </c>
      <c r="I56">
        <v>-1.8349</v>
      </c>
      <c r="J56">
        <v>345160.02</v>
      </c>
      <c r="K56">
        <v>112453.514</v>
      </c>
      <c r="L56" t="s">
        <v>103</v>
      </c>
      <c r="M56" t="s">
        <v>104</v>
      </c>
      <c r="N56" s="3">
        <v>45565</v>
      </c>
      <c r="O56">
        <v>55</v>
      </c>
      <c r="P56">
        <v>73</v>
      </c>
      <c r="Q56">
        <v>-18</v>
      </c>
      <c r="R56" t="s">
        <v>105</v>
      </c>
    </row>
    <row r="57" spans="1:18">
      <c r="A57" t="s">
        <v>70</v>
      </c>
      <c r="B57" s="3">
        <v>45538</v>
      </c>
      <c r="C57">
        <v>3.2</v>
      </c>
      <c r="D57">
        <v>3.29</v>
      </c>
      <c r="E57">
        <v>3.18</v>
      </c>
      <c r="F57">
        <v>3.24</v>
      </c>
      <c r="G57">
        <v>3.21</v>
      </c>
      <c r="H57">
        <v>0.03</v>
      </c>
      <c r="I57">
        <v>0.9346</v>
      </c>
      <c r="J57">
        <v>258577</v>
      </c>
      <c r="K57">
        <v>83832.996</v>
      </c>
      <c r="L57" t="s">
        <v>103</v>
      </c>
      <c r="M57" t="s">
        <v>104</v>
      </c>
      <c r="N57" s="3">
        <v>45565</v>
      </c>
      <c r="O57">
        <v>56</v>
      </c>
      <c r="P57">
        <v>73</v>
      </c>
      <c r="Q57">
        <v>-17</v>
      </c>
      <c r="R57" t="s">
        <v>105</v>
      </c>
    </row>
    <row r="58" spans="1:18">
      <c r="A58" t="s">
        <v>70</v>
      </c>
      <c r="B58" s="3">
        <v>45539</v>
      </c>
      <c r="C58">
        <v>3.23</v>
      </c>
      <c r="D58">
        <v>3.26</v>
      </c>
      <c r="E58">
        <v>3.2</v>
      </c>
      <c r="F58">
        <v>3.21</v>
      </c>
      <c r="G58">
        <v>3.24</v>
      </c>
      <c r="H58">
        <v>-0.03</v>
      </c>
      <c r="I58">
        <v>-0.9259</v>
      </c>
      <c r="J58">
        <v>186507</v>
      </c>
      <c r="K58">
        <v>60156.707</v>
      </c>
      <c r="L58" t="s">
        <v>103</v>
      </c>
      <c r="M58" t="s">
        <v>104</v>
      </c>
      <c r="N58" s="3">
        <v>45565</v>
      </c>
      <c r="O58">
        <v>57</v>
      </c>
      <c r="P58">
        <v>73</v>
      </c>
      <c r="Q58">
        <v>-16</v>
      </c>
      <c r="R58" t="s">
        <v>105</v>
      </c>
    </row>
    <row r="59" spans="1:18">
      <c r="A59" t="s">
        <v>70</v>
      </c>
      <c r="B59" s="3">
        <v>45540</v>
      </c>
      <c r="C59">
        <v>3.22</v>
      </c>
      <c r="D59">
        <v>3.27</v>
      </c>
      <c r="E59">
        <v>3.21</v>
      </c>
      <c r="F59">
        <v>3.25</v>
      </c>
      <c r="G59">
        <v>3.21</v>
      </c>
      <c r="H59">
        <v>0.04</v>
      </c>
      <c r="I59">
        <v>1.2461</v>
      </c>
      <c r="J59">
        <v>174576.01</v>
      </c>
      <c r="K59">
        <v>56695.529</v>
      </c>
      <c r="L59" t="s">
        <v>103</v>
      </c>
      <c r="M59" t="s">
        <v>104</v>
      </c>
      <c r="N59" s="3">
        <v>45565</v>
      </c>
      <c r="O59">
        <v>58</v>
      </c>
      <c r="P59">
        <v>73</v>
      </c>
      <c r="Q59">
        <v>-15</v>
      </c>
      <c r="R59" t="s">
        <v>105</v>
      </c>
    </row>
    <row r="60" spans="1:18">
      <c r="A60" t="s">
        <v>70</v>
      </c>
      <c r="B60" s="3">
        <v>45541</v>
      </c>
      <c r="C60">
        <v>3.25</v>
      </c>
      <c r="D60">
        <v>3.25</v>
      </c>
      <c r="E60">
        <v>3.18</v>
      </c>
      <c r="F60">
        <v>3.19</v>
      </c>
      <c r="G60">
        <v>3.25</v>
      </c>
      <c r="H60">
        <v>-0.06</v>
      </c>
      <c r="I60">
        <v>-1.8462</v>
      </c>
      <c r="J60">
        <v>143413.02</v>
      </c>
      <c r="K60">
        <v>45986.79</v>
      </c>
      <c r="L60" t="s">
        <v>103</v>
      </c>
      <c r="M60" t="s">
        <v>104</v>
      </c>
      <c r="N60" s="3">
        <v>45565</v>
      </c>
      <c r="O60">
        <v>59</v>
      </c>
      <c r="P60">
        <v>73</v>
      </c>
      <c r="Q60">
        <v>-14</v>
      </c>
      <c r="R60" t="s">
        <v>105</v>
      </c>
    </row>
    <row r="61" spans="1:18">
      <c r="A61" t="s">
        <v>70</v>
      </c>
      <c r="B61" s="3">
        <v>45544</v>
      </c>
      <c r="C61">
        <v>3.17</v>
      </c>
      <c r="D61">
        <v>3.22</v>
      </c>
      <c r="E61">
        <v>3.13</v>
      </c>
      <c r="F61">
        <v>3.19</v>
      </c>
      <c r="G61">
        <v>3.19</v>
      </c>
      <c r="H61">
        <v>0</v>
      </c>
      <c r="I61">
        <v>0</v>
      </c>
      <c r="J61">
        <v>155328.19</v>
      </c>
      <c r="K61">
        <v>49387.125</v>
      </c>
      <c r="L61" t="s">
        <v>103</v>
      </c>
      <c r="M61" t="s">
        <v>104</v>
      </c>
      <c r="N61" s="3">
        <v>45565</v>
      </c>
      <c r="O61">
        <v>60</v>
      </c>
      <c r="P61">
        <v>73</v>
      </c>
      <c r="Q61">
        <v>-13</v>
      </c>
      <c r="R61" t="s">
        <v>105</v>
      </c>
    </row>
    <row r="62" spans="1:18">
      <c r="A62" t="s">
        <v>70</v>
      </c>
      <c r="B62" s="3">
        <v>45545</v>
      </c>
      <c r="C62">
        <v>3.18</v>
      </c>
      <c r="D62">
        <v>3.21</v>
      </c>
      <c r="E62">
        <v>3.12</v>
      </c>
      <c r="F62">
        <v>3.19</v>
      </c>
      <c r="G62">
        <v>3.19</v>
      </c>
      <c r="H62">
        <v>0</v>
      </c>
      <c r="I62">
        <v>0</v>
      </c>
      <c r="J62">
        <v>176836.69</v>
      </c>
      <c r="K62">
        <v>55892.4</v>
      </c>
      <c r="L62" t="s">
        <v>103</v>
      </c>
      <c r="M62" t="s">
        <v>104</v>
      </c>
      <c r="N62" s="3">
        <v>45565</v>
      </c>
      <c r="O62">
        <v>61</v>
      </c>
      <c r="P62">
        <v>73</v>
      </c>
      <c r="Q62">
        <v>-12</v>
      </c>
      <c r="R62" t="s">
        <v>105</v>
      </c>
    </row>
    <row r="63" spans="1:18">
      <c r="A63" t="s">
        <v>70</v>
      </c>
      <c r="B63" s="3">
        <v>45546</v>
      </c>
      <c r="C63">
        <v>3.17</v>
      </c>
      <c r="D63">
        <v>3.19</v>
      </c>
      <c r="E63">
        <v>3.12</v>
      </c>
      <c r="F63">
        <v>3.14</v>
      </c>
      <c r="G63">
        <v>3.19</v>
      </c>
      <c r="H63">
        <v>-0.05</v>
      </c>
      <c r="I63">
        <v>-1.5674</v>
      </c>
      <c r="J63">
        <v>164262</v>
      </c>
      <c r="K63">
        <v>51804.031</v>
      </c>
      <c r="L63" t="s">
        <v>103</v>
      </c>
      <c r="M63" t="s">
        <v>104</v>
      </c>
      <c r="N63" s="3">
        <v>45565</v>
      </c>
      <c r="O63">
        <v>62</v>
      </c>
      <c r="P63">
        <v>73</v>
      </c>
      <c r="Q63">
        <v>-11</v>
      </c>
      <c r="R63" t="s">
        <v>105</v>
      </c>
    </row>
    <row r="64" spans="1:18">
      <c r="A64" t="s">
        <v>70</v>
      </c>
      <c r="B64" s="3">
        <v>45547</v>
      </c>
      <c r="C64">
        <v>3.13</v>
      </c>
      <c r="D64">
        <v>3.18</v>
      </c>
      <c r="E64">
        <v>3.1</v>
      </c>
      <c r="F64">
        <v>3.1</v>
      </c>
      <c r="G64">
        <v>3.14</v>
      </c>
      <c r="H64">
        <v>-0.04</v>
      </c>
      <c r="I64">
        <v>-1.2739</v>
      </c>
      <c r="J64">
        <v>169540.01</v>
      </c>
      <c r="K64">
        <v>53124.776</v>
      </c>
      <c r="L64" t="s">
        <v>103</v>
      </c>
      <c r="M64" t="s">
        <v>104</v>
      </c>
      <c r="N64" s="3">
        <v>45565</v>
      </c>
      <c r="O64">
        <v>63</v>
      </c>
      <c r="P64">
        <v>73</v>
      </c>
      <c r="Q64">
        <v>-10</v>
      </c>
      <c r="R64" t="s">
        <v>105</v>
      </c>
    </row>
    <row r="65" spans="1:19">
      <c r="A65" t="s">
        <v>70</v>
      </c>
      <c r="B65" s="3">
        <v>45548</v>
      </c>
      <c r="C65">
        <v>3.1</v>
      </c>
      <c r="D65">
        <v>3.11</v>
      </c>
      <c r="E65">
        <v>3.01</v>
      </c>
      <c r="F65">
        <v>3.02</v>
      </c>
      <c r="G65">
        <v>3.1</v>
      </c>
      <c r="H65">
        <v>-0.08</v>
      </c>
      <c r="I65">
        <v>-2.5806</v>
      </c>
      <c r="J65">
        <v>258757.44</v>
      </c>
      <c r="K65">
        <v>78855.054</v>
      </c>
      <c r="L65" t="s">
        <v>103</v>
      </c>
      <c r="M65" t="s">
        <v>104</v>
      </c>
      <c r="N65" s="3">
        <v>45565</v>
      </c>
      <c r="O65">
        <v>64</v>
      </c>
      <c r="P65">
        <v>73</v>
      </c>
      <c r="Q65">
        <v>-9</v>
      </c>
      <c r="R65" t="s">
        <v>105</v>
      </c>
    </row>
    <row r="66" spans="1:19">
      <c r="A66" t="s">
        <v>70</v>
      </c>
      <c r="B66" s="3">
        <v>45553</v>
      </c>
      <c r="C66">
        <v>3.03</v>
      </c>
      <c r="D66">
        <v>3.05</v>
      </c>
      <c r="E66">
        <v>2.92</v>
      </c>
      <c r="F66">
        <v>2.99</v>
      </c>
      <c r="G66">
        <v>3.02</v>
      </c>
      <c r="H66">
        <v>-0.03</v>
      </c>
      <c r="I66">
        <v>-0.9934</v>
      </c>
      <c r="J66">
        <v>259722</v>
      </c>
      <c r="K66">
        <v>77062.104</v>
      </c>
      <c r="L66" t="s">
        <v>103</v>
      </c>
      <c r="M66" t="s">
        <v>104</v>
      </c>
      <c r="N66" s="3">
        <v>45565</v>
      </c>
      <c r="O66">
        <v>65</v>
      </c>
      <c r="P66">
        <v>73</v>
      </c>
      <c r="Q66">
        <v>-8</v>
      </c>
      <c r="R66" t="s">
        <v>105</v>
      </c>
    </row>
    <row r="67" spans="1:19">
      <c r="A67" t="s">
        <v>70</v>
      </c>
      <c r="B67" s="3">
        <v>45554</v>
      </c>
      <c r="C67">
        <v>3</v>
      </c>
      <c r="D67">
        <v>3.12</v>
      </c>
      <c r="E67">
        <v>3</v>
      </c>
      <c r="F67">
        <v>3.1</v>
      </c>
      <c r="G67">
        <v>2.99</v>
      </c>
      <c r="H67">
        <v>0.11</v>
      </c>
      <c r="I67">
        <v>3.6789</v>
      </c>
      <c r="J67">
        <v>379835.02</v>
      </c>
      <c r="K67">
        <v>116858.867</v>
      </c>
      <c r="L67" t="s">
        <v>103</v>
      </c>
      <c r="M67" t="s">
        <v>104</v>
      </c>
      <c r="N67" s="3">
        <v>45565</v>
      </c>
      <c r="O67">
        <v>66</v>
      </c>
      <c r="P67">
        <v>73</v>
      </c>
      <c r="Q67">
        <v>-7</v>
      </c>
      <c r="R67" t="s">
        <v>105</v>
      </c>
    </row>
    <row r="68" spans="1:19">
      <c r="A68" t="s">
        <v>70</v>
      </c>
      <c r="B68" s="3">
        <v>45555</v>
      </c>
      <c r="C68">
        <v>3.1</v>
      </c>
      <c r="D68">
        <v>3.12</v>
      </c>
      <c r="E68">
        <v>3.07</v>
      </c>
      <c r="F68">
        <v>3.11</v>
      </c>
      <c r="G68">
        <v>3.1</v>
      </c>
      <c r="H68">
        <v>0.01</v>
      </c>
      <c r="I68">
        <v>0.3226</v>
      </c>
      <c r="J68">
        <v>210943</v>
      </c>
      <c r="K68">
        <v>65421.815</v>
      </c>
      <c r="L68" t="s">
        <v>103</v>
      </c>
      <c r="M68" t="s">
        <v>104</v>
      </c>
      <c r="N68" s="3">
        <v>45565</v>
      </c>
      <c r="O68">
        <v>67</v>
      </c>
      <c r="P68">
        <v>73</v>
      </c>
      <c r="Q68">
        <v>-6</v>
      </c>
      <c r="R68" t="s">
        <v>105</v>
      </c>
    </row>
    <row r="69" spans="1:19">
      <c r="A69" t="s">
        <v>70</v>
      </c>
      <c r="B69" s="3">
        <v>45558</v>
      </c>
      <c r="C69">
        <v>3.1</v>
      </c>
      <c r="D69">
        <v>3.16</v>
      </c>
      <c r="E69">
        <v>3.08</v>
      </c>
      <c r="F69">
        <v>3.12</v>
      </c>
      <c r="G69">
        <v>3.11</v>
      </c>
      <c r="H69">
        <v>0.01</v>
      </c>
      <c r="I69">
        <v>0.3215</v>
      </c>
      <c r="J69">
        <v>208406.02</v>
      </c>
      <c r="K69">
        <v>65180.937</v>
      </c>
      <c r="L69" t="s">
        <v>103</v>
      </c>
      <c r="M69" t="s">
        <v>104</v>
      </c>
      <c r="N69" s="3">
        <v>45565</v>
      </c>
      <c r="O69">
        <v>68</v>
      </c>
      <c r="P69">
        <v>73</v>
      </c>
      <c r="Q69">
        <v>-5</v>
      </c>
      <c r="R69" t="s">
        <v>105</v>
      </c>
    </row>
    <row r="70" spans="1:19">
      <c r="A70" t="s">
        <v>70</v>
      </c>
      <c r="B70" s="3">
        <v>45559</v>
      </c>
      <c r="C70">
        <v>3.14</v>
      </c>
      <c r="D70">
        <v>3.23</v>
      </c>
      <c r="E70">
        <v>3.09</v>
      </c>
      <c r="F70">
        <v>3.22</v>
      </c>
      <c r="G70">
        <v>3.12</v>
      </c>
      <c r="H70">
        <v>0.1</v>
      </c>
      <c r="I70">
        <v>3.2051</v>
      </c>
      <c r="J70">
        <v>370251</v>
      </c>
      <c r="K70">
        <v>117385.019</v>
      </c>
      <c r="L70" t="s">
        <v>103</v>
      </c>
      <c r="M70" t="s">
        <v>104</v>
      </c>
      <c r="N70" s="3">
        <v>45565</v>
      </c>
      <c r="O70">
        <v>69</v>
      </c>
      <c r="P70">
        <v>73</v>
      </c>
      <c r="Q70">
        <v>-4</v>
      </c>
      <c r="R70" t="s">
        <v>105</v>
      </c>
    </row>
    <row r="71" spans="1:19">
      <c r="A71" t="s">
        <v>70</v>
      </c>
      <c r="B71" s="3">
        <v>45560</v>
      </c>
      <c r="C71">
        <v>3.27</v>
      </c>
      <c r="D71">
        <v>3.41</v>
      </c>
      <c r="E71">
        <v>3.24</v>
      </c>
      <c r="F71">
        <v>3.31</v>
      </c>
      <c r="G71">
        <v>3.22</v>
      </c>
      <c r="H71">
        <v>0.09</v>
      </c>
      <c r="I71">
        <v>2.795</v>
      </c>
      <c r="J71">
        <v>609238.68</v>
      </c>
      <c r="K71">
        <v>202885.7</v>
      </c>
      <c r="L71" t="s">
        <v>103</v>
      </c>
      <c r="M71" t="s">
        <v>104</v>
      </c>
      <c r="N71" s="3">
        <v>45565</v>
      </c>
      <c r="O71">
        <v>70</v>
      </c>
      <c r="P71">
        <v>73</v>
      </c>
      <c r="Q71">
        <v>-3</v>
      </c>
      <c r="R71" t="s">
        <v>105</v>
      </c>
    </row>
    <row r="72" spans="1:19">
      <c r="A72" t="s">
        <v>70</v>
      </c>
      <c r="B72" s="3">
        <v>45561</v>
      </c>
      <c r="C72">
        <v>3.32</v>
      </c>
      <c r="D72">
        <v>3.41</v>
      </c>
      <c r="E72">
        <v>3.29</v>
      </c>
      <c r="F72">
        <v>3.41</v>
      </c>
      <c r="G72">
        <v>3.31</v>
      </c>
      <c r="H72">
        <v>0.1</v>
      </c>
      <c r="I72">
        <v>3.0211</v>
      </c>
      <c r="J72">
        <v>499319.5</v>
      </c>
      <c r="K72">
        <v>167419.509</v>
      </c>
      <c r="L72" t="s">
        <v>103</v>
      </c>
      <c r="M72" t="s">
        <v>104</v>
      </c>
      <c r="N72" s="3">
        <v>45565</v>
      </c>
      <c r="O72">
        <v>71</v>
      </c>
      <c r="P72">
        <v>73</v>
      </c>
      <c r="Q72">
        <v>-2</v>
      </c>
      <c r="R72" t="s">
        <v>105</v>
      </c>
    </row>
    <row r="73" spans="1:19">
      <c r="A73" t="s">
        <v>70</v>
      </c>
      <c r="B73" s="3">
        <v>45562</v>
      </c>
      <c r="C73">
        <v>3.46</v>
      </c>
      <c r="D73">
        <v>3.57</v>
      </c>
      <c r="E73">
        <v>3.44</v>
      </c>
      <c r="F73">
        <v>3.54</v>
      </c>
      <c r="G73">
        <v>3.41</v>
      </c>
      <c r="H73">
        <v>0.13</v>
      </c>
      <c r="I73">
        <v>3.8123</v>
      </c>
      <c r="J73">
        <v>399385.02</v>
      </c>
      <c r="K73">
        <v>139933.075</v>
      </c>
      <c r="L73" t="s">
        <v>103</v>
      </c>
      <c r="M73" t="s">
        <v>104</v>
      </c>
      <c r="N73" s="3">
        <v>45565</v>
      </c>
      <c r="O73">
        <v>72</v>
      </c>
      <c r="P73">
        <v>73</v>
      </c>
      <c r="Q73">
        <v>-1</v>
      </c>
      <c r="R73" t="s">
        <v>105</v>
      </c>
    </row>
    <row r="74" spans="1:19">
      <c r="A74" t="s">
        <v>70</v>
      </c>
      <c r="B74" s="3">
        <v>45565</v>
      </c>
      <c r="C74">
        <v>3.65</v>
      </c>
      <c r="D74">
        <v>3.89</v>
      </c>
      <c r="E74">
        <v>3.62</v>
      </c>
      <c r="F74">
        <v>3.89</v>
      </c>
      <c r="G74">
        <v>3.54</v>
      </c>
      <c r="H74">
        <v>0.35</v>
      </c>
      <c r="I74">
        <v>9.887</v>
      </c>
      <c r="J74">
        <v>1088056.97</v>
      </c>
      <c r="K74">
        <v>411980.994</v>
      </c>
      <c r="L74" t="s">
        <v>103</v>
      </c>
      <c r="M74" t="s">
        <v>104</v>
      </c>
      <c r="N74" s="3">
        <v>45565</v>
      </c>
      <c r="O74">
        <v>73</v>
      </c>
      <c r="P74">
        <v>73</v>
      </c>
      <c r="Q74">
        <v>0</v>
      </c>
      <c r="R74" t="s">
        <v>106</v>
      </c>
      <c r="S74" t="s">
        <v>172</v>
      </c>
    </row>
    <row r="75" spans="1:19">
      <c r="A75" t="s">
        <v>70</v>
      </c>
      <c r="B75" s="3">
        <v>45573</v>
      </c>
      <c r="C75">
        <v>4.28</v>
      </c>
      <c r="D75">
        <v>4.28</v>
      </c>
      <c r="E75">
        <v>3.91</v>
      </c>
      <c r="F75">
        <v>4.13</v>
      </c>
      <c r="G75">
        <v>3.89</v>
      </c>
      <c r="H75">
        <v>0.24</v>
      </c>
      <c r="I75">
        <v>6.1697</v>
      </c>
      <c r="J75">
        <v>1180908.58</v>
      </c>
      <c r="K75">
        <v>487912.453</v>
      </c>
      <c r="L75" t="s">
        <v>103</v>
      </c>
      <c r="M75" t="s">
        <v>104</v>
      </c>
      <c r="N75" s="3">
        <v>45565</v>
      </c>
      <c r="O75">
        <v>74</v>
      </c>
      <c r="P75">
        <v>73</v>
      </c>
      <c r="Q75">
        <v>1</v>
      </c>
      <c r="R75" t="s">
        <v>107</v>
      </c>
    </row>
    <row r="76" spans="1:19">
      <c r="A76" t="s">
        <v>70</v>
      </c>
      <c r="B76" s="3">
        <v>45574</v>
      </c>
      <c r="C76">
        <v>4.06</v>
      </c>
      <c r="D76">
        <v>4.06</v>
      </c>
      <c r="E76">
        <v>3.72</v>
      </c>
      <c r="F76">
        <v>3.72</v>
      </c>
      <c r="G76">
        <v>4.13</v>
      </c>
      <c r="H76">
        <v>-0.41</v>
      </c>
      <c r="I76">
        <v>-9.9274</v>
      </c>
      <c r="J76">
        <v>955539.1</v>
      </c>
      <c r="K76">
        <v>365333.689</v>
      </c>
      <c r="L76" t="s">
        <v>103</v>
      </c>
      <c r="M76" t="s">
        <v>104</v>
      </c>
      <c r="N76" s="3">
        <v>45565</v>
      </c>
      <c r="O76">
        <v>75</v>
      </c>
      <c r="P76">
        <v>73</v>
      </c>
      <c r="Q76">
        <v>2</v>
      </c>
      <c r="R76" t="s">
        <v>107</v>
      </c>
    </row>
    <row r="77" spans="1:19">
      <c r="A77" t="s">
        <v>70</v>
      </c>
      <c r="B77" s="3">
        <v>45575</v>
      </c>
      <c r="C77">
        <v>3.71</v>
      </c>
      <c r="D77">
        <v>3.96</v>
      </c>
      <c r="E77">
        <v>3.6</v>
      </c>
      <c r="F77">
        <v>3.8</v>
      </c>
      <c r="G77">
        <v>3.72</v>
      </c>
      <c r="H77">
        <v>0.08</v>
      </c>
      <c r="I77">
        <v>2.1505</v>
      </c>
      <c r="J77">
        <v>946180.35</v>
      </c>
      <c r="K77">
        <v>356633.02</v>
      </c>
      <c r="L77" t="s">
        <v>103</v>
      </c>
      <c r="M77" t="s">
        <v>104</v>
      </c>
      <c r="N77" s="3">
        <v>45565</v>
      </c>
      <c r="O77">
        <v>76</v>
      </c>
      <c r="P77">
        <v>73</v>
      </c>
      <c r="Q77">
        <v>3</v>
      </c>
      <c r="R77" t="s">
        <v>107</v>
      </c>
    </row>
    <row r="78" spans="1:19">
      <c r="A78" t="s">
        <v>70</v>
      </c>
      <c r="B78" s="3">
        <v>45576</v>
      </c>
      <c r="C78">
        <v>3.77</v>
      </c>
      <c r="D78">
        <v>4.12</v>
      </c>
      <c r="E78">
        <v>3.71</v>
      </c>
      <c r="F78">
        <v>3.98</v>
      </c>
      <c r="G78">
        <v>3.8</v>
      </c>
      <c r="H78">
        <v>0.18</v>
      </c>
      <c r="I78">
        <v>4.7368</v>
      </c>
      <c r="J78">
        <v>1441377.68</v>
      </c>
      <c r="K78">
        <v>570696.146</v>
      </c>
      <c r="L78" t="s">
        <v>103</v>
      </c>
      <c r="M78" t="s">
        <v>104</v>
      </c>
      <c r="N78" s="3">
        <v>45565</v>
      </c>
      <c r="O78">
        <v>77</v>
      </c>
      <c r="P78">
        <v>73</v>
      </c>
      <c r="Q78">
        <v>4</v>
      </c>
      <c r="R78" t="s">
        <v>107</v>
      </c>
    </row>
    <row r="79" spans="1:19">
      <c r="A79" t="s">
        <v>70</v>
      </c>
      <c r="B79" s="3">
        <v>45579</v>
      </c>
      <c r="C79">
        <v>4.07</v>
      </c>
      <c r="D79">
        <v>4.13</v>
      </c>
      <c r="E79">
        <v>3.92</v>
      </c>
      <c r="F79">
        <v>4.09</v>
      </c>
      <c r="G79">
        <v>3.98</v>
      </c>
      <c r="H79">
        <v>0.11</v>
      </c>
      <c r="I79">
        <v>2.7638</v>
      </c>
      <c r="J79">
        <v>1469982.78</v>
      </c>
      <c r="K79">
        <v>593661.777</v>
      </c>
      <c r="L79" t="s">
        <v>103</v>
      </c>
      <c r="M79" t="s">
        <v>104</v>
      </c>
      <c r="N79" s="3">
        <v>45565</v>
      </c>
      <c r="O79">
        <v>78</v>
      </c>
      <c r="P79">
        <v>73</v>
      </c>
      <c r="Q79">
        <v>5</v>
      </c>
      <c r="R79" t="s">
        <v>107</v>
      </c>
    </row>
    <row r="80" spans="1:19">
      <c r="A80" t="s">
        <v>70</v>
      </c>
      <c r="B80" s="3">
        <v>45580</v>
      </c>
      <c r="C80">
        <v>4.05</v>
      </c>
      <c r="D80">
        <v>4.49</v>
      </c>
      <c r="E80">
        <v>3.95</v>
      </c>
      <c r="F80">
        <v>4.36</v>
      </c>
      <c r="G80">
        <v>4.09</v>
      </c>
      <c r="H80">
        <v>0.27</v>
      </c>
      <c r="I80">
        <v>6.6015</v>
      </c>
      <c r="J80">
        <v>2253049.12</v>
      </c>
      <c r="K80">
        <v>963674.325</v>
      </c>
      <c r="L80" t="s">
        <v>103</v>
      </c>
      <c r="M80" t="s">
        <v>104</v>
      </c>
      <c r="N80" s="3">
        <v>45565</v>
      </c>
      <c r="O80">
        <v>79</v>
      </c>
      <c r="P80">
        <v>73</v>
      </c>
      <c r="Q80">
        <v>6</v>
      </c>
      <c r="R80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总览</vt:lpstr>
      <vt:lpstr>000063.SZ_元数据</vt:lpstr>
      <vt:lpstr>000063.SZ_行情</vt:lpstr>
      <vt:lpstr>000925.SZ_元数据</vt:lpstr>
      <vt:lpstr>000925.SZ_行情</vt:lpstr>
      <vt:lpstr>002685.SZ_元数据</vt:lpstr>
      <vt:lpstr>002685.SZ_行情</vt:lpstr>
      <vt:lpstr>300054.SZ_元数据</vt:lpstr>
      <vt:lpstr>300054.SZ_行情</vt:lpstr>
      <vt:lpstr>300474.SZ_元数据</vt:lpstr>
      <vt:lpstr>300474.SZ_行情</vt:lpstr>
      <vt:lpstr>300496.SZ_元数据</vt:lpstr>
      <vt:lpstr>300496.SZ_行情</vt:lpstr>
      <vt:lpstr>300571.SZ_元数据</vt:lpstr>
      <vt:lpstr>300571.SZ_行情</vt:lpstr>
      <vt:lpstr>300638.SZ_元数据</vt:lpstr>
      <vt:lpstr>300638.SZ_行情</vt:lpstr>
      <vt:lpstr>300738.SZ_元数据</vt:lpstr>
      <vt:lpstr>300738.SZ_行情</vt:lpstr>
      <vt:lpstr>600821.SH_元数据</vt:lpstr>
      <vt:lpstr>600821.SH_行情</vt:lpstr>
      <vt:lpstr>600941.SH_元数据</vt:lpstr>
      <vt:lpstr>600941.SH_行情</vt:lpstr>
      <vt:lpstr>603019.SH_元数据</vt:lpstr>
      <vt:lpstr>603019.SH_行情</vt:lpstr>
      <vt:lpstr>603220.SH_元数据</vt:lpstr>
      <vt:lpstr>603220.SH_行情</vt:lpstr>
      <vt:lpstr>000063.SZ_元数据 Copy</vt:lpstr>
      <vt:lpstr>603688.SH_元数据</vt:lpstr>
      <vt:lpstr>603688.SH_行情</vt:lpstr>
      <vt:lpstr>688008.SH_元数据</vt:lpstr>
      <vt:lpstr>688008.SH_行情</vt:lpstr>
      <vt:lpstr>688048.SH_元数据</vt:lpstr>
      <vt:lpstr>688048.SH_行情</vt:lpstr>
      <vt:lpstr>688256.SH_元数据</vt:lpstr>
      <vt:lpstr>688256.SH_行情</vt:lpstr>
      <vt:lpstr>688521.SH_元数据</vt:lpstr>
      <vt:lpstr>688521.SH_行情</vt:lpstr>
      <vt:lpstr>688627.SH_元数据</vt:lpstr>
      <vt:lpstr>688627.SH_行情</vt:lpstr>
      <vt:lpstr>300260.SZ_元数据</vt:lpstr>
      <vt:lpstr>300260.SZ_行情</vt:lpstr>
      <vt:lpstr>300789.SZ_元数据</vt:lpstr>
      <vt:lpstr>300789.SZ_行情</vt:lpstr>
      <vt:lpstr>688795.SH_元数据</vt:lpstr>
      <vt:lpstr>688795.SH_行情</vt:lpstr>
      <vt:lpstr>600186.SH_元数据</vt:lpstr>
      <vt:lpstr>600186.SH_行情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WPS_1757600554</cp:lastModifiedBy>
  <dcterms:created xsi:type="dcterms:W3CDTF">2026-04-20T11:43:00Z</dcterms:created>
  <dcterms:modified xsi:type="dcterms:W3CDTF">2026-04-20T13:18:18Z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DB92D92CE366439E8D7489CEA2F82CBC_13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